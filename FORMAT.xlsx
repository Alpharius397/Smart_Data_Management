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\Desktop\Intern\Smart-Data-Management\"/>
    </mc:Choice>
  </mc:AlternateContent>
  <xr:revisionPtr revIDLastSave="0" documentId="13_ncr:1_{994EE4FC-5708-4B1D-8E29-78FA3F483F5E}" xr6:coauthVersionLast="47" xr6:coauthVersionMax="47" xr10:uidLastSave="{00000000-0000-0000-0000-000000000000}"/>
  <bookViews>
    <workbookView xWindow="-108" yWindow="-108" windowWidth="23256" windowHeight="12456" xr2:uid="{F48298C6-7D83-413E-BD9E-10C084A6DE08}"/>
  </bookViews>
  <sheets>
    <sheet name="SEM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AR26" i="1"/>
  <c r="AS26" i="1" s="1"/>
  <c r="AR25" i="1"/>
  <c r="AS25" i="1" s="1"/>
  <c r="AR24" i="1"/>
  <c r="AS24" i="1" s="1"/>
  <c r="AR23" i="1"/>
  <c r="AS23" i="1" s="1"/>
  <c r="AR22" i="1"/>
  <c r="AS22" i="1" s="1"/>
  <c r="AR21" i="1"/>
  <c r="AS21" i="1" s="1"/>
  <c r="AR20" i="1"/>
  <c r="AS20" i="1" s="1"/>
  <c r="AR19" i="1"/>
  <c r="AS19" i="1" s="1"/>
  <c r="AR18" i="1"/>
  <c r="AS18" i="1" s="1"/>
  <c r="AR17" i="1"/>
  <c r="AS17" i="1" s="1"/>
  <c r="AR16" i="1"/>
  <c r="AS16" i="1" s="1"/>
  <c r="AR15" i="1"/>
  <c r="AS15" i="1" s="1"/>
  <c r="AR3" i="1"/>
  <c r="AS3" i="1" s="1"/>
  <c r="AR4" i="1"/>
  <c r="AS4" i="1" s="1"/>
  <c r="AR5" i="1"/>
  <c r="AS5" i="1" s="1"/>
  <c r="AR6" i="1"/>
  <c r="AS6" i="1" s="1"/>
  <c r="AR7" i="1"/>
  <c r="AS7" i="1" s="1"/>
  <c r="AR8" i="1"/>
  <c r="AS8" i="1" s="1"/>
  <c r="AR9" i="1"/>
  <c r="AS9" i="1" s="1"/>
  <c r="AR10" i="1"/>
  <c r="AS10" i="1" s="1"/>
  <c r="AR11" i="1"/>
  <c r="AS11" i="1" s="1"/>
  <c r="AR12" i="1"/>
  <c r="AS12" i="1" s="1"/>
  <c r="AR13" i="1"/>
  <c r="AS13" i="1" s="1"/>
  <c r="AR14" i="1"/>
  <c r="AS14" i="1" s="1"/>
  <c r="AR2" i="1"/>
  <c r="AS2" i="1" s="1"/>
</calcChain>
</file>

<file path=xl/sharedStrings.xml><?xml version="1.0" encoding="utf-8"?>
<sst xmlns="http://schemas.openxmlformats.org/spreadsheetml/2006/main" count="371" uniqueCount="155">
  <si>
    <t>SEMESTER</t>
  </si>
  <si>
    <t>RESULT</t>
  </si>
  <si>
    <t>PERCENTAGE</t>
  </si>
  <si>
    <t>P</t>
  </si>
  <si>
    <t>Exam_SEAT_NO</t>
  </si>
  <si>
    <t>SUR_NAME</t>
  </si>
  <si>
    <t>FIRST_NAME</t>
  </si>
  <si>
    <t>LAST_NAME</t>
  </si>
  <si>
    <t>SURNAME1</t>
  </si>
  <si>
    <t>SURNAME2</t>
  </si>
  <si>
    <t>SURNAME3</t>
  </si>
  <si>
    <t>SURNAME4</t>
  </si>
  <si>
    <t>SURNAME5</t>
  </si>
  <si>
    <t>SURNAME6</t>
  </si>
  <si>
    <t>SURNAME7</t>
  </si>
  <si>
    <t>SURNAME8</t>
  </si>
  <si>
    <t>SURNAME9</t>
  </si>
  <si>
    <t>SURNAME10</t>
  </si>
  <si>
    <t>SURNAME11</t>
  </si>
  <si>
    <t>SURNAME12</t>
  </si>
  <si>
    <t>SURNAME13</t>
  </si>
  <si>
    <t>FIRST_NAME1</t>
  </si>
  <si>
    <t>LAST_NAME2</t>
  </si>
  <si>
    <t>FIRST_NAME2</t>
  </si>
  <si>
    <t>LAST_NAME3</t>
  </si>
  <si>
    <t>FIRST_NAME3</t>
  </si>
  <si>
    <t>LAST_NAME4</t>
  </si>
  <si>
    <t>FIRST_NAME4</t>
  </si>
  <si>
    <t>LAST_NAME5</t>
  </si>
  <si>
    <t>FIRST_NAME5</t>
  </si>
  <si>
    <t>LAST_NAME6</t>
  </si>
  <si>
    <t>FIRST_NAME6</t>
  </si>
  <si>
    <t>LAST_NAME7</t>
  </si>
  <si>
    <t>FIRST_NAME7</t>
  </si>
  <si>
    <t>LAST_NAME8</t>
  </si>
  <si>
    <t>FIRST_NAME8</t>
  </si>
  <si>
    <t>LAST_NAME9</t>
  </si>
  <si>
    <t>FIRST_NAME9</t>
  </si>
  <si>
    <t>LAST_NAME10</t>
  </si>
  <si>
    <t>FIRST_NAME10</t>
  </si>
  <si>
    <t>LAST_NAME11</t>
  </si>
  <si>
    <t>FIRST_NAME11</t>
  </si>
  <si>
    <t>LAST_NAME12</t>
  </si>
  <si>
    <t>FIRST_NAME12</t>
  </si>
  <si>
    <t>LAST_NAME13</t>
  </si>
  <si>
    <t>FIRST_NAME13</t>
  </si>
  <si>
    <t>LAST_NAME14</t>
  </si>
  <si>
    <t>EXAM_HELD_IN</t>
  </si>
  <si>
    <t>SUB_1_THEORY</t>
  </si>
  <si>
    <t>SUB_1_TERM_WORK</t>
  </si>
  <si>
    <t>SUB_1_INTERNAL</t>
  </si>
  <si>
    <t>SUB_1_PRACTICAL-ORAL</t>
  </si>
  <si>
    <t>SUB_1_NAME</t>
  </si>
  <si>
    <t>SUB_2_NAME</t>
  </si>
  <si>
    <t>SUB_2_THEORY</t>
  </si>
  <si>
    <t>SUB_2_INTERNAL</t>
  </si>
  <si>
    <t>SUB_2_PRACTICAL-ORAL</t>
  </si>
  <si>
    <t>SUB_2_TERM_WORK</t>
  </si>
  <si>
    <t>SUB_3_THEORY</t>
  </si>
  <si>
    <t>SUB_3_INTERNAL</t>
  </si>
  <si>
    <t>SUB_3_PRACTICAL-ORAL</t>
  </si>
  <si>
    <t>SUB_3_TERM_WORK</t>
  </si>
  <si>
    <t>SUB_3_NAME</t>
  </si>
  <si>
    <t>SUB_4_NAME</t>
  </si>
  <si>
    <t>SUB_4_THEORY</t>
  </si>
  <si>
    <t>SUB_4_INTERNAL</t>
  </si>
  <si>
    <t>SUB_4_PRACTICAL-ORAL</t>
  </si>
  <si>
    <t>SUB_4_TERM_WORK</t>
  </si>
  <si>
    <t>SUB_5_NAME</t>
  </si>
  <si>
    <t>SUB_5_THEORY</t>
  </si>
  <si>
    <t>SUB_5_INTERNAL</t>
  </si>
  <si>
    <t>SUB_5_PRACTICAL-ORAL</t>
  </si>
  <si>
    <t>SUB_5_TERM_WORK</t>
  </si>
  <si>
    <t>BRANCH_NAME</t>
  </si>
  <si>
    <t>Applied Mathematics-I</t>
  </si>
  <si>
    <t>Applied Physics-I</t>
  </si>
  <si>
    <t>Applied Chemistry –I</t>
  </si>
  <si>
    <t>Engineering Mechanics</t>
  </si>
  <si>
    <t>Basic Electrical Engineering</t>
  </si>
  <si>
    <t>SUB_6_THEORY</t>
  </si>
  <si>
    <t>SUB_6_INTERNAL</t>
  </si>
  <si>
    <t>SUB_6_PRACTICAL-ORAL</t>
  </si>
  <si>
    <t>SUB_6_TERM_WORK</t>
  </si>
  <si>
    <t>TOTAL_MARKS</t>
  </si>
  <si>
    <t>SECURED_MARKS</t>
  </si>
  <si>
    <t>Environmental studies</t>
  </si>
  <si>
    <t>SUB_6_NAME</t>
  </si>
  <si>
    <t>SURNAME14</t>
  </si>
  <si>
    <t>SURNAME15</t>
  </si>
  <si>
    <t>SURNAME16</t>
  </si>
  <si>
    <t>SURNAME17</t>
  </si>
  <si>
    <t>SURNAME18</t>
  </si>
  <si>
    <t>SURNAME19</t>
  </si>
  <si>
    <t>SURNAME20</t>
  </si>
  <si>
    <t>SURNAME21</t>
  </si>
  <si>
    <t>SURNAME22</t>
  </si>
  <si>
    <t>SURNAME23</t>
  </si>
  <si>
    <t>SURNAME24</t>
  </si>
  <si>
    <t>SURNAME25</t>
  </si>
  <si>
    <t>FIRST_NAME14</t>
  </si>
  <si>
    <t>LAST_NAME15</t>
  </si>
  <si>
    <t>FIRST_NAME15</t>
  </si>
  <si>
    <t>LAST_NAME16</t>
  </si>
  <si>
    <t>FIRST_NAME16</t>
  </si>
  <si>
    <t>LAST_NAME17</t>
  </si>
  <si>
    <t>FIRST_NAME17</t>
  </si>
  <si>
    <t>LAST_NAME18</t>
  </si>
  <si>
    <t>FIRST_NAME18</t>
  </si>
  <si>
    <t>LAST_NAME19</t>
  </si>
  <si>
    <t>FIRST_NAME19</t>
  </si>
  <si>
    <t>LAST_NAME20</t>
  </si>
  <si>
    <t>FIRST_NAME20</t>
  </si>
  <si>
    <t>LAST_NAME21</t>
  </si>
  <si>
    <t>FIRST_NAME21</t>
  </si>
  <si>
    <t>LAST_NAME22</t>
  </si>
  <si>
    <t>FIRST_NAME22</t>
  </si>
  <si>
    <t>LAST_NAME23</t>
  </si>
  <si>
    <t>FIRST_NAME23</t>
  </si>
  <si>
    <t>LAST_NAME24</t>
  </si>
  <si>
    <t>FIRST_NAME24</t>
  </si>
  <si>
    <t>LAST_NAME25</t>
  </si>
  <si>
    <t>FIRST_NAME25</t>
  </si>
  <si>
    <t>ELECTRONICS ENGINEERING</t>
  </si>
  <si>
    <t>REG_NO</t>
  </si>
  <si>
    <t>DOB</t>
  </si>
  <si>
    <t>SMART_CARD_NO</t>
  </si>
  <si>
    <t>BRANCH</t>
  </si>
  <si>
    <t>COMPUTER ENGINEERING</t>
  </si>
  <si>
    <t>MOTHER_NAME</t>
  </si>
  <si>
    <t>MOTHER_1</t>
  </si>
  <si>
    <t>MOTHER_2</t>
  </si>
  <si>
    <t>MOTHER_3</t>
  </si>
  <si>
    <t>MOTHER_4</t>
  </si>
  <si>
    <t>MOTHER_5</t>
  </si>
  <si>
    <t>MOTHER_6</t>
  </si>
  <si>
    <t>MOTHER_7</t>
  </si>
  <si>
    <t>MOTHER_8</t>
  </si>
  <si>
    <t>MOTHER_9</t>
  </si>
  <si>
    <t>MOTHER_10</t>
  </si>
  <si>
    <t>MOTHER_11</t>
  </si>
  <si>
    <t>MOTHER_12</t>
  </si>
  <si>
    <t>MOTHER_13</t>
  </si>
  <si>
    <t>MOTHER_14</t>
  </si>
  <si>
    <t>MOTHER_15</t>
  </si>
  <si>
    <t>MOTHER_16</t>
  </si>
  <si>
    <t>MOTHER_17</t>
  </si>
  <si>
    <t>MOTHER_18</t>
  </si>
  <si>
    <t>MOTHER_19</t>
  </si>
  <si>
    <t>MOTHER_20</t>
  </si>
  <si>
    <t>MOTHER_21</t>
  </si>
  <si>
    <t>MOTHER_22</t>
  </si>
  <si>
    <t>MOTHER_23</t>
  </si>
  <si>
    <t>MOTHER_24</t>
  </si>
  <si>
    <t>MOTHER_25</t>
  </si>
  <si>
    <t>LAST_NAME1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</si>
</sst>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2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9176-0434-4170-AB38-CDBFCEE8D501}">
  <dimension ref="A1:AT26"/>
  <sheetViews>
    <sheetView tabSelected="1" topLeftCell="AI1" workbookViewId="0">
      <selection activeCell="AU2" sqref="AU2"/>
    </sheetView>
  </sheetViews>
  <sheetFormatPr defaultColWidth="23.6640625" defaultRowHeight="14.4" x14ac:dyDescent="0.3"/>
  <cols>
    <col min="1" max="1" width="15" bestFit="1" customWidth="1"/>
    <col min="2" max="2" width="9.109375" bestFit="1" customWidth="1"/>
    <col min="3" max="3" width="11.88671875" bestFit="1" customWidth="1"/>
    <col min="4" max="4" width="14.33203125" bestFit="1" customWidth="1"/>
    <col min="5" max="5" width="13.6640625" bestFit="1" customWidth="1"/>
    <col min="6" max="6" width="16" customWidth="1"/>
    <col min="7" max="7" width="13.6640625" customWidth="1"/>
    <col min="8" max="8" width="17" bestFit="1" customWidth="1"/>
    <col min="9" max="9" width="23.88671875" bestFit="1" customWidth="1"/>
    <col min="10" max="10" width="14.6640625" bestFit="1" customWidth="1"/>
    <col min="11" max="11" width="25.88671875" bestFit="1" customWidth="1"/>
    <col min="12" max="12" width="9.88671875" bestFit="1" customWidth="1"/>
    <col min="13" max="13" width="21.5546875" bestFit="1" customWidth="1"/>
    <col min="14" max="14" width="14.44140625" bestFit="1" customWidth="1"/>
    <col min="15" max="15" width="16.33203125" bestFit="1" customWidth="1"/>
    <col min="16" max="16" width="22.88671875" bestFit="1" customWidth="1"/>
    <col min="17" max="17" width="19.109375" bestFit="1" customWidth="1"/>
    <col min="18" max="18" width="16.33203125" bestFit="1" customWidth="1"/>
    <col min="19" max="19" width="14.44140625" bestFit="1" customWidth="1"/>
    <col min="20" max="20" width="16.33203125" bestFit="1" customWidth="1"/>
    <col min="21" max="21" width="22.88671875" bestFit="1" customWidth="1"/>
    <col min="22" max="22" width="19.109375" bestFit="1" customWidth="1"/>
    <col min="23" max="23" width="19.6640625" bestFit="1" customWidth="1"/>
    <col min="24" max="24" width="14.44140625" bestFit="1" customWidth="1"/>
    <col min="25" max="25" width="16.33203125" bestFit="1" customWidth="1"/>
    <col min="26" max="26" width="22.88671875" bestFit="1" customWidth="1"/>
    <col min="27" max="27" width="19.109375" bestFit="1" customWidth="1"/>
    <col min="28" max="28" width="21.6640625" bestFit="1" customWidth="1"/>
    <col min="29" max="29" width="14.44140625" bestFit="1" customWidth="1"/>
    <col min="30" max="30" width="16.33203125" bestFit="1" customWidth="1"/>
    <col min="31" max="31" width="22.88671875" bestFit="1" customWidth="1"/>
    <col min="32" max="32" width="19.109375" bestFit="1" customWidth="1"/>
    <col min="33" max="33" width="25.33203125" bestFit="1" customWidth="1"/>
    <col min="34" max="34" width="14.44140625" bestFit="1" customWidth="1"/>
    <col min="35" max="35" width="16.33203125" bestFit="1" customWidth="1"/>
    <col min="36" max="36" width="22.88671875" bestFit="1" customWidth="1"/>
    <col min="37" max="37" width="19.109375" bestFit="1" customWidth="1"/>
    <col min="38" max="38" width="21.109375" bestFit="1" customWidth="1"/>
    <col min="39" max="39" width="14.44140625" bestFit="1" customWidth="1"/>
    <col min="40" max="40" width="16.33203125" bestFit="1" customWidth="1"/>
    <col min="41" max="41" width="22.88671875" bestFit="1" customWidth="1"/>
    <col min="42" max="42" width="19.109375" bestFit="1" customWidth="1"/>
    <col min="43" max="43" width="14" bestFit="1" customWidth="1"/>
    <col min="44" max="44" width="16.33203125" bestFit="1" customWidth="1"/>
    <col min="45" max="45" width="12.44140625" bestFit="1" customWidth="1"/>
    <col min="46" max="46" width="7.33203125" bestFit="1" customWidth="1"/>
  </cols>
  <sheetData>
    <row r="1" spans="1:46" x14ac:dyDescent="0.3">
      <c r="A1" s="4" t="s">
        <v>4</v>
      </c>
      <c r="B1" s="4" t="s">
        <v>123</v>
      </c>
      <c r="C1" s="4" t="s">
        <v>5</v>
      </c>
      <c r="D1" s="4" t="s">
        <v>6</v>
      </c>
      <c r="E1" s="4" t="s">
        <v>7</v>
      </c>
      <c r="F1" s="4" t="s">
        <v>128</v>
      </c>
      <c r="G1" s="4" t="s">
        <v>124</v>
      </c>
      <c r="H1" s="4" t="s">
        <v>125</v>
      </c>
      <c r="I1" s="4" t="s">
        <v>126</v>
      </c>
      <c r="J1" s="4" t="s">
        <v>47</v>
      </c>
      <c r="K1" s="4" t="s">
        <v>73</v>
      </c>
      <c r="L1" s="4" t="s">
        <v>0</v>
      </c>
      <c r="M1" s="4" t="s">
        <v>52</v>
      </c>
      <c r="N1" s="4" t="s">
        <v>48</v>
      </c>
      <c r="O1" s="4" t="s">
        <v>50</v>
      </c>
      <c r="P1" s="4" t="s">
        <v>51</v>
      </c>
      <c r="Q1" s="4" t="s">
        <v>49</v>
      </c>
      <c r="R1" s="4" t="s">
        <v>53</v>
      </c>
      <c r="S1" s="4" t="s">
        <v>54</v>
      </c>
      <c r="T1" s="4" t="s">
        <v>55</v>
      </c>
      <c r="U1" s="4" t="s">
        <v>56</v>
      </c>
      <c r="V1" s="4" t="s">
        <v>57</v>
      </c>
      <c r="W1" s="4" t="s">
        <v>62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67</v>
      </c>
      <c r="AG1" s="4" t="s">
        <v>68</v>
      </c>
      <c r="AH1" s="4" t="s">
        <v>69</v>
      </c>
      <c r="AI1" s="4" t="s">
        <v>70</v>
      </c>
      <c r="AJ1" s="4" t="s">
        <v>71</v>
      </c>
      <c r="AK1" s="4" t="s">
        <v>72</v>
      </c>
      <c r="AL1" s="4" t="s">
        <v>86</v>
      </c>
      <c r="AM1" s="4" t="s">
        <v>79</v>
      </c>
      <c r="AN1" s="4" t="s">
        <v>80</v>
      </c>
      <c r="AO1" s="4" t="s">
        <v>81</v>
      </c>
      <c r="AP1" s="4" t="s">
        <v>82</v>
      </c>
      <c r="AQ1" s="4" t="s">
        <v>83</v>
      </c>
      <c r="AR1" s="4" t="s">
        <v>84</v>
      </c>
      <c r="AS1" s="4" t="s">
        <v>2</v>
      </c>
      <c r="AT1" s="4" t="s">
        <v>1</v>
      </c>
    </row>
    <row r="2" spans="1:46" x14ac:dyDescent="0.3">
      <c r="A2">
        <v>1</v>
      </c>
      <c r="B2">
        <v>112233</v>
      </c>
      <c r="C2" t="s">
        <v>8</v>
      </c>
      <c r="D2" t="s">
        <v>21</v>
      </c>
      <c r="E2" t="s">
        <v>154</v>
      </c>
      <c r="F2" t="s">
        <v>129</v>
      </c>
      <c r="G2" s="3">
        <v>38838</v>
      </c>
      <c r="H2" t="str">
        <f>"ABC-"&amp;B2</f>
        <v>ABC-112233</v>
      </c>
      <c r="I2" t="s">
        <v>127</v>
      </c>
      <c r="J2" s="1">
        <v>43952</v>
      </c>
      <c r="K2" s="1" t="s">
        <v>122</v>
      </c>
      <c r="L2">
        <v>1</v>
      </c>
      <c r="M2" t="s">
        <v>74</v>
      </c>
      <c r="N2">
        <v>45</v>
      </c>
      <c r="O2">
        <v>11</v>
      </c>
      <c r="P2">
        <v>24</v>
      </c>
      <c r="Q2">
        <v>17</v>
      </c>
      <c r="R2" t="s">
        <v>75</v>
      </c>
      <c r="S2">
        <v>68</v>
      </c>
      <c r="T2">
        <v>17</v>
      </c>
      <c r="U2">
        <v>22</v>
      </c>
      <c r="V2">
        <v>24</v>
      </c>
      <c r="W2" t="s">
        <v>76</v>
      </c>
      <c r="X2">
        <v>73</v>
      </c>
      <c r="Y2">
        <v>18</v>
      </c>
      <c r="Z2">
        <v>10</v>
      </c>
      <c r="AA2">
        <v>23</v>
      </c>
      <c r="AB2" t="s">
        <v>77</v>
      </c>
      <c r="AC2">
        <v>35</v>
      </c>
      <c r="AD2">
        <v>12</v>
      </c>
      <c r="AE2">
        <v>15</v>
      </c>
      <c r="AF2">
        <v>20</v>
      </c>
      <c r="AG2" t="s">
        <v>78</v>
      </c>
      <c r="AH2">
        <v>52</v>
      </c>
      <c r="AI2">
        <v>15</v>
      </c>
      <c r="AJ2">
        <v>20</v>
      </c>
      <c r="AK2">
        <v>15</v>
      </c>
      <c r="AL2" t="s">
        <v>85</v>
      </c>
      <c r="AM2">
        <v>35</v>
      </c>
      <c r="AN2">
        <v>12</v>
      </c>
      <c r="AO2">
        <v>15</v>
      </c>
      <c r="AP2">
        <v>20</v>
      </c>
      <c r="AQ2">
        <v>750</v>
      </c>
      <c r="AR2">
        <f>SUM(N2:AP2)</f>
        <v>618</v>
      </c>
      <c r="AS2" s="2">
        <f>AR2/AQ2*100</f>
        <v>82.399999999999991</v>
      </c>
      <c r="AT2" t="s">
        <v>3</v>
      </c>
    </row>
    <row r="3" spans="1:46" x14ac:dyDescent="0.3">
      <c r="A3">
        <v>2</v>
      </c>
      <c r="B3">
        <v>112234</v>
      </c>
      <c r="C3" t="s">
        <v>9</v>
      </c>
      <c r="D3" t="s">
        <v>23</v>
      </c>
      <c r="E3" t="s">
        <v>22</v>
      </c>
      <c r="F3" t="s">
        <v>130</v>
      </c>
      <c r="G3" s="3">
        <v>38839</v>
      </c>
      <c r="H3" t="str">
        <f t="shared" ref="H3:H26" si="0">"ABC-"&amp;B3</f>
        <v>ABC-112234</v>
      </c>
      <c r="I3" t="s">
        <v>127</v>
      </c>
      <c r="J3" s="1">
        <v>43952</v>
      </c>
      <c r="K3" s="1" t="s">
        <v>122</v>
      </c>
      <c r="L3">
        <v>1</v>
      </c>
      <c r="M3" t="s">
        <v>74</v>
      </c>
      <c r="N3">
        <v>14</v>
      </c>
      <c r="O3">
        <v>11</v>
      </c>
      <c r="P3">
        <v>18</v>
      </c>
      <c r="Q3">
        <v>20</v>
      </c>
      <c r="R3" t="s">
        <v>75</v>
      </c>
      <c r="S3">
        <v>39</v>
      </c>
      <c r="T3">
        <v>8</v>
      </c>
      <c r="U3">
        <v>22</v>
      </c>
      <c r="V3">
        <v>18</v>
      </c>
      <c r="W3" t="s">
        <v>76</v>
      </c>
      <c r="X3">
        <v>58</v>
      </c>
      <c r="Y3">
        <v>15</v>
      </c>
      <c r="Z3">
        <v>22</v>
      </c>
      <c r="AA3">
        <v>10</v>
      </c>
      <c r="AB3" t="s">
        <v>77</v>
      </c>
      <c r="AC3">
        <v>52</v>
      </c>
      <c r="AD3">
        <v>15</v>
      </c>
      <c r="AE3">
        <v>20</v>
      </c>
      <c r="AF3">
        <v>15</v>
      </c>
      <c r="AG3" t="s">
        <v>78</v>
      </c>
      <c r="AH3">
        <v>58</v>
      </c>
      <c r="AI3">
        <v>15</v>
      </c>
      <c r="AJ3">
        <v>22</v>
      </c>
      <c r="AK3">
        <v>10</v>
      </c>
      <c r="AL3" t="s">
        <v>85</v>
      </c>
      <c r="AM3">
        <v>58</v>
      </c>
      <c r="AN3">
        <v>15</v>
      </c>
      <c r="AO3">
        <v>22</v>
      </c>
      <c r="AP3">
        <v>10</v>
      </c>
      <c r="AQ3">
        <v>750</v>
      </c>
      <c r="AR3">
        <f t="shared" ref="AR3:AR14" si="1">SUM(N3:AP3)</f>
        <v>567</v>
      </c>
      <c r="AS3" s="2">
        <f t="shared" ref="AS3:AS14" si="2">AR3/AQ3*100</f>
        <v>75.599999999999994</v>
      </c>
      <c r="AT3" t="s">
        <v>3</v>
      </c>
    </row>
    <row r="4" spans="1:46" x14ac:dyDescent="0.3">
      <c r="A4">
        <v>3</v>
      </c>
      <c r="B4">
        <v>112235</v>
      </c>
      <c r="C4" t="s">
        <v>10</v>
      </c>
      <c r="D4" t="s">
        <v>25</v>
      </c>
      <c r="E4" t="s">
        <v>24</v>
      </c>
      <c r="F4" t="s">
        <v>131</v>
      </c>
      <c r="G4" s="3">
        <v>38840</v>
      </c>
      <c r="H4" t="str">
        <f t="shared" si="0"/>
        <v>ABC-112235</v>
      </c>
      <c r="I4" t="s">
        <v>127</v>
      </c>
      <c r="J4" s="1">
        <v>43952</v>
      </c>
      <c r="K4" s="1" t="s">
        <v>122</v>
      </c>
      <c r="L4">
        <v>1</v>
      </c>
      <c r="M4" t="s">
        <v>74</v>
      </c>
      <c r="N4">
        <v>32</v>
      </c>
      <c r="O4">
        <v>20</v>
      </c>
      <c r="P4">
        <v>15</v>
      </c>
      <c r="Q4">
        <v>23</v>
      </c>
      <c r="R4" t="s">
        <v>75</v>
      </c>
      <c r="S4">
        <v>52</v>
      </c>
      <c r="T4">
        <v>15</v>
      </c>
      <c r="U4">
        <v>20</v>
      </c>
      <c r="V4">
        <v>15</v>
      </c>
      <c r="W4" t="s">
        <v>76</v>
      </c>
      <c r="X4">
        <v>42</v>
      </c>
      <c r="Y4">
        <v>14</v>
      </c>
      <c r="Z4">
        <v>22</v>
      </c>
      <c r="AA4">
        <v>22</v>
      </c>
      <c r="AB4" t="s">
        <v>77</v>
      </c>
      <c r="AC4">
        <v>73</v>
      </c>
      <c r="AD4">
        <v>18</v>
      </c>
      <c r="AE4">
        <v>10</v>
      </c>
      <c r="AF4">
        <v>23</v>
      </c>
      <c r="AG4" t="s">
        <v>78</v>
      </c>
      <c r="AH4">
        <v>42</v>
      </c>
      <c r="AI4">
        <v>14</v>
      </c>
      <c r="AJ4">
        <v>22</v>
      </c>
      <c r="AK4">
        <v>22</v>
      </c>
      <c r="AL4" t="s">
        <v>85</v>
      </c>
      <c r="AM4">
        <v>73</v>
      </c>
      <c r="AN4">
        <v>18</v>
      </c>
      <c r="AO4">
        <v>10</v>
      </c>
      <c r="AP4">
        <v>23</v>
      </c>
      <c r="AQ4">
        <v>750</v>
      </c>
      <c r="AR4">
        <f t="shared" si="1"/>
        <v>640</v>
      </c>
      <c r="AS4" s="2">
        <f t="shared" si="2"/>
        <v>85.333333333333343</v>
      </c>
      <c r="AT4" t="s">
        <v>3</v>
      </c>
    </row>
    <row r="5" spans="1:46" x14ac:dyDescent="0.3">
      <c r="A5">
        <v>4</v>
      </c>
      <c r="B5">
        <v>112236</v>
      </c>
      <c r="C5" t="s">
        <v>11</v>
      </c>
      <c r="D5" t="s">
        <v>27</v>
      </c>
      <c r="E5" t="s">
        <v>26</v>
      </c>
      <c r="F5" t="s">
        <v>132</v>
      </c>
      <c r="G5" s="3">
        <v>38841</v>
      </c>
      <c r="H5" t="str">
        <f t="shared" si="0"/>
        <v>ABC-112236</v>
      </c>
      <c r="I5" t="s">
        <v>127</v>
      </c>
      <c r="J5" s="1">
        <v>43952</v>
      </c>
      <c r="K5" s="1" t="s">
        <v>122</v>
      </c>
      <c r="L5">
        <v>1</v>
      </c>
      <c r="M5" t="s">
        <v>74</v>
      </c>
      <c r="N5">
        <v>54</v>
      </c>
      <c r="O5">
        <v>16</v>
      </c>
      <c r="P5">
        <v>23</v>
      </c>
      <c r="Q5">
        <v>22</v>
      </c>
      <c r="R5" t="s">
        <v>75</v>
      </c>
      <c r="S5">
        <v>73</v>
      </c>
      <c r="T5">
        <v>18</v>
      </c>
      <c r="U5">
        <v>10</v>
      </c>
      <c r="V5">
        <v>23</v>
      </c>
      <c r="W5" t="s">
        <v>76</v>
      </c>
      <c r="X5">
        <v>32</v>
      </c>
      <c r="Y5">
        <v>14</v>
      </c>
      <c r="Z5">
        <v>20</v>
      </c>
      <c r="AA5">
        <v>22</v>
      </c>
      <c r="AB5" t="s">
        <v>77</v>
      </c>
      <c r="AC5">
        <v>32</v>
      </c>
      <c r="AD5">
        <v>14</v>
      </c>
      <c r="AE5">
        <v>20</v>
      </c>
      <c r="AF5">
        <v>22</v>
      </c>
      <c r="AG5" t="s">
        <v>78</v>
      </c>
      <c r="AH5">
        <v>52</v>
      </c>
      <c r="AI5">
        <v>15</v>
      </c>
      <c r="AJ5">
        <v>20</v>
      </c>
      <c r="AK5">
        <v>15</v>
      </c>
      <c r="AL5" t="s">
        <v>85</v>
      </c>
      <c r="AM5">
        <v>32</v>
      </c>
      <c r="AN5">
        <v>14</v>
      </c>
      <c r="AO5">
        <v>20</v>
      </c>
      <c r="AP5">
        <v>22</v>
      </c>
      <c r="AQ5">
        <v>750</v>
      </c>
      <c r="AR5">
        <f t="shared" si="1"/>
        <v>605</v>
      </c>
      <c r="AS5" s="2">
        <f t="shared" si="2"/>
        <v>80.666666666666657</v>
      </c>
      <c r="AT5" t="s">
        <v>3</v>
      </c>
    </row>
    <row r="6" spans="1:46" x14ac:dyDescent="0.3">
      <c r="A6">
        <v>5</v>
      </c>
      <c r="B6">
        <v>112237</v>
      </c>
      <c r="C6" t="s">
        <v>12</v>
      </c>
      <c r="D6" t="s">
        <v>29</v>
      </c>
      <c r="E6" t="s">
        <v>28</v>
      </c>
      <c r="F6" t="s">
        <v>133</v>
      </c>
      <c r="G6" s="3">
        <v>38842</v>
      </c>
      <c r="H6" t="str">
        <f t="shared" si="0"/>
        <v>ABC-112237</v>
      </c>
      <c r="I6" t="s">
        <v>127</v>
      </c>
      <c r="J6" s="1">
        <v>43952</v>
      </c>
      <c r="K6" s="1" t="s">
        <v>122</v>
      </c>
      <c r="L6">
        <v>1</v>
      </c>
      <c r="M6" t="s">
        <v>74</v>
      </c>
      <c r="N6">
        <v>16</v>
      </c>
      <c r="O6">
        <v>12</v>
      </c>
      <c r="P6">
        <v>10</v>
      </c>
      <c r="Q6">
        <v>19</v>
      </c>
      <c r="R6" t="s">
        <v>75</v>
      </c>
      <c r="S6">
        <v>58</v>
      </c>
      <c r="T6">
        <v>15</v>
      </c>
      <c r="U6">
        <v>22</v>
      </c>
      <c r="V6">
        <v>10</v>
      </c>
      <c r="W6" t="s">
        <v>76</v>
      </c>
      <c r="X6">
        <v>35</v>
      </c>
      <c r="Y6">
        <v>12</v>
      </c>
      <c r="Z6">
        <v>15</v>
      </c>
      <c r="AA6">
        <v>20</v>
      </c>
      <c r="AB6" t="s">
        <v>77</v>
      </c>
      <c r="AC6">
        <v>35</v>
      </c>
      <c r="AD6">
        <v>12</v>
      </c>
      <c r="AE6">
        <v>15</v>
      </c>
      <c r="AF6">
        <v>20</v>
      </c>
      <c r="AG6" t="s">
        <v>78</v>
      </c>
      <c r="AH6">
        <v>58</v>
      </c>
      <c r="AI6">
        <v>15</v>
      </c>
      <c r="AJ6">
        <v>22</v>
      </c>
      <c r="AK6">
        <v>10</v>
      </c>
      <c r="AL6" t="s">
        <v>85</v>
      </c>
      <c r="AM6">
        <v>35</v>
      </c>
      <c r="AN6">
        <v>12</v>
      </c>
      <c r="AO6">
        <v>15</v>
      </c>
      <c r="AP6">
        <v>20</v>
      </c>
      <c r="AQ6">
        <v>750</v>
      </c>
      <c r="AR6">
        <f t="shared" si="1"/>
        <v>513</v>
      </c>
      <c r="AS6" s="2">
        <f t="shared" si="2"/>
        <v>68.400000000000006</v>
      </c>
      <c r="AT6" t="s">
        <v>3</v>
      </c>
    </row>
    <row r="7" spans="1:46" x14ac:dyDescent="0.3">
      <c r="A7">
        <v>6</v>
      </c>
      <c r="B7">
        <v>112238</v>
      </c>
      <c r="C7" t="s">
        <v>13</v>
      </c>
      <c r="D7" t="s">
        <v>31</v>
      </c>
      <c r="E7" t="s">
        <v>30</v>
      </c>
      <c r="F7" t="s">
        <v>134</v>
      </c>
      <c r="G7" s="3">
        <v>38843</v>
      </c>
      <c r="H7" t="str">
        <f t="shared" si="0"/>
        <v>ABC-112238</v>
      </c>
      <c r="I7" t="s">
        <v>127</v>
      </c>
      <c r="J7" s="1">
        <v>43952</v>
      </c>
      <c r="K7" s="1" t="s">
        <v>122</v>
      </c>
      <c r="L7">
        <v>1</v>
      </c>
      <c r="M7" t="s">
        <v>74</v>
      </c>
      <c r="N7">
        <v>68</v>
      </c>
      <c r="O7">
        <v>17</v>
      </c>
      <c r="P7">
        <v>22</v>
      </c>
      <c r="Q7">
        <v>24</v>
      </c>
      <c r="R7" t="s">
        <v>75</v>
      </c>
      <c r="S7">
        <v>42</v>
      </c>
      <c r="T7">
        <v>14</v>
      </c>
      <c r="U7">
        <v>22</v>
      </c>
      <c r="V7">
        <v>22</v>
      </c>
      <c r="W7" t="s">
        <v>76</v>
      </c>
      <c r="X7">
        <v>52</v>
      </c>
      <c r="Y7">
        <v>15</v>
      </c>
      <c r="Z7">
        <v>20</v>
      </c>
      <c r="AA7">
        <v>15</v>
      </c>
      <c r="AB7" t="s">
        <v>77</v>
      </c>
      <c r="AC7">
        <v>52</v>
      </c>
      <c r="AD7">
        <v>15</v>
      </c>
      <c r="AE7">
        <v>20</v>
      </c>
      <c r="AF7">
        <v>15</v>
      </c>
      <c r="AG7" t="s">
        <v>78</v>
      </c>
      <c r="AH7">
        <v>73</v>
      </c>
      <c r="AI7">
        <v>18</v>
      </c>
      <c r="AJ7">
        <v>10</v>
      </c>
      <c r="AK7">
        <v>23</v>
      </c>
      <c r="AL7" t="s">
        <v>85</v>
      </c>
      <c r="AM7">
        <v>58</v>
      </c>
      <c r="AN7">
        <v>15</v>
      </c>
      <c r="AO7">
        <v>22</v>
      </c>
      <c r="AP7">
        <v>10</v>
      </c>
      <c r="AQ7">
        <v>750</v>
      </c>
      <c r="AR7">
        <f t="shared" si="1"/>
        <v>664</v>
      </c>
      <c r="AS7" s="2">
        <f t="shared" si="2"/>
        <v>88.533333333333331</v>
      </c>
      <c r="AT7" t="s">
        <v>3</v>
      </c>
    </row>
    <row r="8" spans="1:46" x14ac:dyDescent="0.3">
      <c r="A8">
        <v>7</v>
      </c>
      <c r="B8">
        <v>112239</v>
      </c>
      <c r="C8" t="s">
        <v>14</v>
      </c>
      <c r="D8" t="s">
        <v>33</v>
      </c>
      <c r="E8" t="s">
        <v>32</v>
      </c>
      <c r="F8" t="s">
        <v>135</v>
      </c>
      <c r="G8" s="3">
        <v>38844</v>
      </c>
      <c r="H8" t="str">
        <f t="shared" si="0"/>
        <v>ABC-112239</v>
      </c>
      <c r="I8" t="s">
        <v>127</v>
      </c>
      <c r="J8" s="1">
        <v>43952</v>
      </c>
      <c r="K8" s="1" t="s">
        <v>122</v>
      </c>
      <c r="L8">
        <v>1</v>
      </c>
      <c r="M8" t="s">
        <v>74</v>
      </c>
      <c r="N8">
        <v>39</v>
      </c>
      <c r="O8">
        <v>8</v>
      </c>
      <c r="P8">
        <v>22</v>
      </c>
      <c r="Q8">
        <v>18</v>
      </c>
      <c r="R8" t="s">
        <v>75</v>
      </c>
      <c r="S8">
        <v>32</v>
      </c>
      <c r="T8">
        <v>14</v>
      </c>
      <c r="U8">
        <v>20</v>
      </c>
      <c r="V8">
        <v>22</v>
      </c>
      <c r="W8" t="s">
        <v>76</v>
      </c>
      <c r="X8">
        <v>73</v>
      </c>
      <c r="Y8">
        <v>18</v>
      </c>
      <c r="Z8">
        <v>10</v>
      </c>
      <c r="AA8">
        <v>23</v>
      </c>
      <c r="AB8" t="s">
        <v>77</v>
      </c>
      <c r="AC8">
        <v>58</v>
      </c>
      <c r="AD8">
        <v>15</v>
      </c>
      <c r="AE8">
        <v>22</v>
      </c>
      <c r="AF8">
        <v>10</v>
      </c>
      <c r="AG8" t="s">
        <v>78</v>
      </c>
      <c r="AH8">
        <v>32</v>
      </c>
      <c r="AI8">
        <v>14</v>
      </c>
      <c r="AJ8">
        <v>20</v>
      </c>
      <c r="AK8">
        <v>22</v>
      </c>
      <c r="AL8" t="s">
        <v>85</v>
      </c>
      <c r="AM8">
        <v>73</v>
      </c>
      <c r="AN8">
        <v>18</v>
      </c>
      <c r="AO8">
        <v>10</v>
      </c>
      <c r="AP8">
        <v>23</v>
      </c>
      <c r="AQ8">
        <v>750</v>
      </c>
      <c r="AR8">
        <f t="shared" si="1"/>
        <v>616</v>
      </c>
      <c r="AS8" s="2">
        <f t="shared" si="2"/>
        <v>82.13333333333334</v>
      </c>
      <c r="AT8" t="s">
        <v>3</v>
      </c>
    </row>
    <row r="9" spans="1:46" x14ac:dyDescent="0.3">
      <c r="A9">
        <v>8</v>
      </c>
      <c r="B9">
        <v>112240</v>
      </c>
      <c r="C9" t="s">
        <v>15</v>
      </c>
      <c r="D9" t="s">
        <v>35</v>
      </c>
      <c r="E9" t="s">
        <v>34</v>
      </c>
      <c r="F9" t="s">
        <v>136</v>
      </c>
      <c r="G9" s="3">
        <v>38845</v>
      </c>
      <c r="H9" t="str">
        <f t="shared" si="0"/>
        <v>ABC-112240</v>
      </c>
      <c r="I9" t="s">
        <v>127</v>
      </c>
      <c r="J9" s="1">
        <v>43952</v>
      </c>
      <c r="K9" s="1" t="s">
        <v>122</v>
      </c>
      <c r="L9">
        <v>1</v>
      </c>
      <c r="M9" t="s">
        <v>74</v>
      </c>
      <c r="N9">
        <v>52</v>
      </c>
      <c r="O9">
        <v>15</v>
      </c>
      <c r="P9">
        <v>20</v>
      </c>
      <c r="Q9">
        <v>15</v>
      </c>
      <c r="R9" t="s">
        <v>75</v>
      </c>
      <c r="S9">
        <v>35</v>
      </c>
      <c r="T9">
        <v>12</v>
      </c>
      <c r="U9">
        <v>15</v>
      </c>
      <c r="V9">
        <v>20</v>
      </c>
      <c r="W9" t="s">
        <v>76</v>
      </c>
      <c r="X9">
        <v>32</v>
      </c>
      <c r="Y9">
        <v>14</v>
      </c>
      <c r="Z9">
        <v>20</v>
      </c>
      <c r="AA9">
        <v>22</v>
      </c>
      <c r="AB9" t="s">
        <v>77</v>
      </c>
      <c r="AC9">
        <v>42</v>
      </c>
      <c r="AD9">
        <v>14</v>
      </c>
      <c r="AE9">
        <v>22</v>
      </c>
      <c r="AF9">
        <v>22</v>
      </c>
      <c r="AG9" t="s">
        <v>78</v>
      </c>
      <c r="AH9">
        <v>35</v>
      </c>
      <c r="AI9">
        <v>12</v>
      </c>
      <c r="AJ9">
        <v>15</v>
      </c>
      <c r="AK9">
        <v>20</v>
      </c>
      <c r="AL9" t="s">
        <v>85</v>
      </c>
      <c r="AM9">
        <v>32</v>
      </c>
      <c r="AN9">
        <v>14</v>
      </c>
      <c r="AO9">
        <v>20</v>
      </c>
      <c r="AP9">
        <v>22</v>
      </c>
      <c r="AQ9">
        <v>750</v>
      </c>
      <c r="AR9">
        <f t="shared" si="1"/>
        <v>542</v>
      </c>
      <c r="AS9" s="2">
        <f t="shared" si="2"/>
        <v>72.266666666666666</v>
      </c>
      <c r="AT9" t="s">
        <v>3</v>
      </c>
    </row>
    <row r="10" spans="1:46" x14ac:dyDescent="0.3">
      <c r="A10">
        <v>9</v>
      </c>
      <c r="B10">
        <v>112241</v>
      </c>
      <c r="C10" t="s">
        <v>16</v>
      </c>
      <c r="D10" t="s">
        <v>37</v>
      </c>
      <c r="E10" t="s">
        <v>36</v>
      </c>
      <c r="F10" t="s">
        <v>137</v>
      </c>
      <c r="G10" s="3">
        <v>38846</v>
      </c>
      <c r="H10" t="str">
        <f t="shared" si="0"/>
        <v>ABC-112241</v>
      </c>
      <c r="I10" t="s">
        <v>127</v>
      </c>
      <c r="J10" s="1">
        <v>43952</v>
      </c>
      <c r="K10" s="1" t="s">
        <v>122</v>
      </c>
      <c r="L10">
        <v>1</v>
      </c>
      <c r="M10" t="s">
        <v>74</v>
      </c>
      <c r="N10">
        <v>73</v>
      </c>
      <c r="O10">
        <v>18</v>
      </c>
      <c r="P10">
        <v>10</v>
      </c>
      <c r="Q10">
        <v>23</v>
      </c>
      <c r="R10" t="s">
        <v>75</v>
      </c>
      <c r="S10">
        <v>52</v>
      </c>
      <c r="T10">
        <v>15</v>
      </c>
      <c r="U10">
        <v>20</v>
      </c>
      <c r="V10">
        <v>15</v>
      </c>
      <c r="W10" t="s">
        <v>76</v>
      </c>
      <c r="X10">
        <v>35</v>
      </c>
      <c r="Y10">
        <v>12</v>
      </c>
      <c r="Z10">
        <v>15</v>
      </c>
      <c r="AA10">
        <v>20</v>
      </c>
      <c r="AB10" t="s">
        <v>77</v>
      </c>
      <c r="AC10">
        <v>52</v>
      </c>
      <c r="AD10">
        <v>15</v>
      </c>
      <c r="AE10">
        <v>20</v>
      </c>
      <c r="AF10">
        <v>15</v>
      </c>
      <c r="AG10" t="s">
        <v>78</v>
      </c>
      <c r="AH10">
        <v>52</v>
      </c>
      <c r="AI10">
        <v>15</v>
      </c>
      <c r="AJ10">
        <v>20</v>
      </c>
      <c r="AK10">
        <v>15</v>
      </c>
      <c r="AL10" t="s">
        <v>85</v>
      </c>
      <c r="AM10">
        <v>35</v>
      </c>
      <c r="AN10">
        <v>12</v>
      </c>
      <c r="AO10">
        <v>15</v>
      </c>
      <c r="AP10">
        <v>20</v>
      </c>
      <c r="AQ10">
        <v>750</v>
      </c>
      <c r="AR10">
        <f t="shared" si="1"/>
        <v>594</v>
      </c>
      <c r="AS10" s="2">
        <f t="shared" si="2"/>
        <v>79.2</v>
      </c>
      <c r="AT10" t="s">
        <v>3</v>
      </c>
    </row>
    <row r="11" spans="1:46" x14ac:dyDescent="0.3">
      <c r="A11">
        <v>10</v>
      </c>
      <c r="B11">
        <v>112242</v>
      </c>
      <c r="C11" t="s">
        <v>17</v>
      </c>
      <c r="D11" t="s">
        <v>39</v>
      </c>
      <c r="E11" t="s">
        <v>38</v>
      </c>
      <c r="F11" t="s">
        <v>138</v>
      </c>
      <c r="G11" s="3">
        <v>38847</v>
      </c>
      <c r="H11" t="str">
        <f t="shared" si="0"/>
        <v>ABC-112242</v>
      </c>
      <c r="I11" t="s">
        <v>127</v>
      </c>
      <c r="J11" s="1">
        <v>43952</v>
      </c>
      <c r="K11" s="1" t="s">
        <v>122</v>
      </c>
      <c r="L11">
        <v>1</v>
      </c>
      <c r="M11" t="s">
        <v>74</v>
      </c>
      <c r="N11">
        <v>58</v>
      </c>
      <c r="O11">
        <v>15</v>
      </c>
      <c r="P11">
        <v>22</v>
      </c>
      <c r="Q11">
        <v>10</v>
      </c>
      <c r="R11" t="s">
        <v>75</v>
      </c>
      <c r="S11">
        <v>73</v>
      </c>
      <c r="T11">
        <v>18</v>
      </c>
      <c r="U11">
        <v>10</v>
      </c>
      <c r="V11">
        <v>23</v>
      </c>
      <c r="W11" t="s">
        <v>76</v>
      </c>
      <c r="X11">
        <v>52</v>
      </c>
      <c r="Y11">
        <v>15</v>
      </c>
      <c r="Z11">
        <v>20</v>
      </c>
      <c r="AA11">
        <v>15</v>
      </c>
      <c r="AB11" t="s">
        <v>77</v>
      </c>
      <c r="AC11">
        <v>58</v>
      </c>
      <c r="AD11">
        <v>15</v>
      </c>
      <c r="AE11">
        <v>22</v>
      </c>
      <c r="AF11">
        <v>10</v>
      </c>
      <c r="AG11" t="s">
        <v>78</v>
      </c>
      <c r="AH11">
        <v>58</v>
      </c>
      <c r="AI11">
        <v>15</v>
      </c>
      <c r="AJ11">
        <v>22</v>
      </c>
      <c r="AK11">
        <v>10</v>
      </c>
      <c r="AL11" t="s">
        <v>85</v>
      </c>
      <c r="AM11">
        <v>58</v>
      </c>
      <c r="AN11">
        <v>15</v>
      </c>
      <c r="AO11">
        <v>22</v>
      </c>
      <c r="AP11">
        <v>10</v>
      </c>
      <c r="AQ11">
        <v>750</v>
      </c>
      <c r="AR11">
        <f t="shared" si="1"/>
        <v>646</v>
      </c>
      <c r="AS11" s="2">
        <f t="shared" si="2"/>
        <v>86.133333333333326</v>
      </c>
      <c r="AT11" t="s">
        <v>3</v>
      </c>
    </row>
    <row r="12" spans="1:46" x14ac:dyDescent="0.3">
      <c r="A12">
        <v>11</v>
      </c>
      <c r="B12">
        <v>112243</v>
      </c>
      <c r="C12" t="s">
        <v>18</v>
      </c>
      <c r="D12" t="s">
        <v>41</v>
      </c>
      <c r="E12" t="s">
        <v>40</v>
      </c>
      <c r="F12" t="s">
        <v>139</v>
      </c>
      <c r="G12" s="3">
        <v>38848</v>
      </c>
      <c r="H12" t="str">
        <f t="shared" si="0"/>
        <v>ABC-112243</v>
      </c>
      <c r="I12" t="s">
        <v>127</v>
      </c>
      <c r="J12" s="1">
        <v>43952</v>
      </c>
      <c r="K12" s="1" t="s">
        <v>122</v>
      </c>
      <c r="L12">
        <v>1</v>
      </c>
      <c r="M12" t="s">
        <v>74</v>
      </c>
      <c r="N12">
        <v>42</v>
      </c>
      <c r="O12">
        <v>14</v>
      </c>
      <c r="P12">
        <v>22</v>
      </c>
      <c r="Q12">
        <v>22</v>
      </c>
      <c r="R12" t="s">
        <v>75</v>
      </c>
      <c r="S12">
        <v>58</v>
      </c>
      <c r="T12">
        <v>15</v>
      </c>
      <c r="U12">
        <v>22</v>
      </c>
      <c r="V12">
        <v>10</v>
      </c>
      <c r="W12" t="s">
        <v>76</v>
      </c>
      <c r="X12">
        <v>58</v>
      </c>
      <c r="Y12">
        <v>15</v>
      </c>
      <c r="Z12">
        <v>22</v>
      </c>
      <c r="AA12">
        <v>10</v>
      </c>
      <c r="AB12" t="s">
        <v>77</v>
      </c>
      <c r="AC12">
        <v>73</v>
      </c>
      <c r="AD12">
        <v>18</v>
      </c>
      <c r="AE12">
        <v>10</v>
      </c>
      <c r="AF12">
        <v>23</v>
      </c>
      <c r="AG12" t="s">
        <v>78</v>
      </c>
      <c r="AH12">
        <v>58</v>
      </c>
      <c r="AI12">
        <v>15</v>
      </c>
      <c r="AJ12">
        <v>22</v>
      </c>
      <c r="AK12">
        <v>10</v>
      </c>
      <c r="AL12" t="s">
        <v>85</v>
      </c>
      <c r="AM12">
        <v>73</v>
      </c>
      <c r="AN12">
        <v>18</v>
      </c>
      <c r="AO12">
        <v>10</v>
      </c>
      <c r="AP12">
        <v>23</v>
      </c>
      <c r="AQ12">
        <v>750</v>
      </c>
      <c r="AR12">
        <f t="shared" si="1"/>
        <v>663</v>
      </c>
      <c r="AS12" s="2">
        <f t="shared" si="2"/>
        <v>88.4</v>
      </c>
      <c r="AT12" t="s">
        <v>3</v>
      </c>
    </row>
    <row r="13" spans="1:46" x14ac:dyDescent="0.3">
      <c r="A13">
        <v>12</v>
      </c>
      <c r="B13">
        <v>112244</v>
      </c>
      <c r="C13" t="s">
        <v>19</v>
      </c>
      <c r="D13" t="s">
        <v>43</v>
      </c>
      <c r="E13" t="s">
        <v>42</v>
      </c>
      <c r="F13" t="s">
        <v>140</v>
      </c>
      <c r="G13" s="3">
        <v>38849</v>
      </c>
      <c r="H13" t="str">
        <f t="shared" si="0"/>
        <v>ABC-112244</v>
      </c>
      <c r="I13" t="s">
        <v>127</v>
      </c>
      <c r="J13" s="1">
        <v>43952</v>
      </c>
      <c r="K13" s="1" t="s">
        <v>122</v>
      </c>
      <c r="L13">
        <v>1</v>
      </c>
      <c r="M13" t="s">
        <v>74</v>
      </c>
      <c r="N13">
        <v>32</v>
      </c>
      <c r="O13">
        <v>14</v>
      </c>
      <c r="P13">
        <v>20</v>
      </c>
      <c r="Q13">
        <v>22</v>
      </c>
      <c r="R13" t="s">
        <v>75</v>
      </c>
      <c r="S13">
        <v>42</v>
      </c>
      <c r="T13">
        <v>14</v>
      </c>
      <c r="U13">
        <v>22</v>
      </c>
      <c r="V13">
        <v>22</v>
      </c>
      <c r="W13" t="s">
        <v>76</v>
      </c>
      <c r="X13">
        <v>42</v>
      </c>
      <c r="Y13">
        <v>14</v>
      </c>
      <c r="Z13">
        <v>22</v>
      </c>
      <c r="AA13">
        <v>22</v>
      </c>
      <c r="AB13" t="s">
        <v>77</v>
      </c>
      <c r="AC13">
        <v>32</v>
      </c>
      <c r="AD13">
        <v>14</v>
      </c>
      <c r="AE13">
        <v>20</v>
      </c>
      <c r="AF13">
        <v>22</v>
      </c>
      <c r="AG13" t="s">
        <v>78</v>
      </c>
      <c r="AH13">
        <v>73</v>
      </c>
      <c r="AI13">
        <v>18</v>
      </c>
      <c r="AJ13">
        <v>10</v>
      </c>
      <c r="AK13">
        <v>23</v>
      </c>
      <c r="AL13" t="s">
        <v>85</v>
      </c>
      <c r="AM13">
        <v>32</v>
      </c>
      <c r="AN13">
        <v>14</v>
      </c>
      <c r="AO13">
        <v>20</v>
      </c>
      <c r="AP13">
        <v>22</v>
      </c>
      <c r="AQ13">
        <v>750</v>
      </c>
      <c r="AR13">
        <f t="shared" si="1"/>
        <v>588</v>
      </c>
      <c r="AS13" s="2">
        <f t="shared" si="2"/>
        <v>78.400000000000006</v>
      </c>
      <c r="AT13" t="s">
        <v>3</v>
      </c>
    </row>
    <row r="14" spans="1:46" x14ac:dyDescent="0.3">
      <c r="A14">
        <v>13</v>
      </c>
      <c r="B14">
        <v>112245</v>
      </c>
      <c r="C14" t="s">
        <v>20</v>
      </c>
      <c r="D14" t="s">
        <v>45</v>
      </c>
      <c r="E14" t="s">
        <v>44</v>
      </c>
      <c r="F14" t="s">
        <v>141</v>
      </c>
      <c r="G14" s="3">
        <v>38850</v>
      </c>
      <c r="H14" t="str">
        <f t="shared" si="0"/>
        <v>ABC-112245</v>
      </c>
      <c r="I14" t="s">
        <v>127</v>
      </c>
      <c r="J14" s="1">
        <v>43952</v>
      </c>
      <c r="K14" s="1" t="s">
        <v>122</v>
      </c>
      <c r="L14">
        <v>1</v>
      </c>
      <c r="M14" t="s">
        <v>74</v>
      </c>
      <c r="N14">
        <v>35</v>
      </c>
      <c r="O14">
        <v>12</v>
      </c>
      <c r="P14">
        <v>15</v>
      </c>
      <c r="Q14">
        <v>20</v>
      </c>
      <c r="R14" t="s">
        <v>75</v>
      </c>
      <c r="S14">
        <v>73</v>
      </c>
      <c r="T14">
        <v>18</v>
      </c>
      <c r="U14">
        <v>10</v>
      </c>
      <c r="V14">
        <v>23</v>
      </c>
      <c r="W14" t="s">
        <v>76</v>
      </c>
      <c r="X14">
        <v>32</v>
      </c>
      <c r="Y14">
        <v>14</v>
      </c>
      <c r="Z14">
        <v>20</v>
      </c>
      <c r="AA14">
        <v>22</v>
      </c>
      <c r="AB14" t="s">
        <v>77</v>
      </c>
      <c r="AC14">
        <v>35</v>
      </c>
      <c r="AD14">
        <v>12</v>
      </c>
      <c r="AE14">
        <v>15</v>
      </c>
      <c r="AF14">
        <v>20</v>
      </c>
      <c r="AG14" t="s">
        <v>78</v>
      </c>
      <c r="AH14">
        <v>32</v>
      </c>
      <c r="AI14">
        <v>14</v>
      </c>
      <c r="AJ14">
        <v>20</v>
      </c>
      <c r="AK14">
        <v>22</v>
      </c>
      <c r="AL14" t="s">
        <v>85</v>
      </c>
      <c r="AM14">
        <v>35</v>
      </c>
      <c r="AN14">
        <v>12</v>
      </c>
      <c r="AO14">
        <v>15</v>
      </c>
      <c r="AP14">
        <v>20</v>
      </c>
      <c r="AQ14">
        <v>750</v>
      </c>
      <c r="AR14">
        <f t="shared" si="1"/>
        <v>546</v>
      </c>
      <c r="AS14" s="2">
        <f t="shared" si="2"/>
        <v>72.8</v>
      </c>
      <c r="AT14" t="s">
        <v>3</v>
      </c>
    </row>
    <row r="15" spans="1:46" x14ac:dyDescent="0.3">
      <c r="A15">
        <v>14</v>
      </c>
      <c r="B15">
        <v>112246</v>
      </c>
      <c r="C15" t="s">
        <v>87</v>
      </c>
      <c r="D15" t="s">
        <v>99</v>
      </c>
      <c r="E15" t="s">
        <v>46</v>
      </c>
      <c r="F15" t="s">
        <v>142</v>
      </c>
      <c r="G15" s="3">
        <v>38851</v>
      </c>
      <c r="H15" t="str">
        <f t="shared" si="0"/>
        <v>ABC-112246</v>
      </c>
      <c r="I15" t="s">
        <v>127</v>
      </c>
      <c r="J15" s="1">
        <v>43952</v>
      </c>
      <c r="K15" s="1" t="s">
        <v>122</v>
      </c>
      <c r="L15">
        <v>1</v>
      </c>
      <c r="M15" t="s">
        <v>74</v>
      </c>
      <c r="N15">
        <v>45</v>
      </c>
      <c r="O15">
        <v>11</v>
      </c>
      <c r="P15">
        <v>24</v>
      </c>
      <c r="Q15">
        <v>17</v>
      </c>
      <c r="R15" t="s">
        <v>75</v>
      </c>
      <c r="S15">
        <v>68</v>
      </c>
      <c r="T15">
        <v>17</v>
      </c>
      <c r="U15">
        <v>22</v>
      </c>
      <c r="V15">
        <v>24</v>
      </c>
      <c r="W15" t="s">
        <v>76</v>
      </c>
      <c r="X15">
        <v>73</v>
      </c>
      <c r="Y15">
        <v>18</v>
      </c>
      <c r="Z15">
        <v>10</v>
      </c>
      <c r="AA15">
        <v>23</v>
      </c>
      <c r="AB15" t="s">
        <v>77</v>
      </c>
      <c r="AC15">
        <v>35</v>
      </c>
      <c r="AD15">
        <v>12</v>
      </c>
      <c r="AE15">
        <v>15</v>
      </c>
      <c r="AF15">
        <v>20</v>
      </c>
      <c r="AG15" t="s">
        <v>78</v>
      </c>
      <c r="AH15">
        <v>52</v>
      </c>
      <c r="AI15">
        <v>15</v>
      </c>
      <c r="AJ15">
        <v>20</v>
      </c>
      <c r="AK15">
        <v>15</v>
      </c>
      <c r="AL15" t="s">
        <v>85</v>
      </c>
      <c r="AM15">
        <v>35</v>
      </c>
      <c r="AN15">
        <v>12</v>
      </c>
      <c r="AO15">
        <v>15</v>
      </c>
      <c r="AP15">
        <v>20</v>
      </c>
      <c r="AQ15">
        <v>750</v>
      </c>
      <c r="AR15">
        <f>SUM(N15:AP15)</f>
        <v>618</v>
      </c>
      <c r="AS15" s="2">
        <f>AR15/AQ15*100</f>
        <v>82.399999999999991</v>
      </c>
      <c r="AT15" t="s">
        <v>3</v>
      </c>
    </row>
    <row r="16" spans="1:46" x14ac:dyDescent="0.3">
      <c r="A16">
        <v>15</v>
      </c>
      <c r="B16">
        <v>112247</v>
      </c>
      <c r="C16" t="s">
        <v>88</v>
      </c>
      <c r="D16" t="s">
        <v>101</v>
      </c>
      <c r="E16" t="s">
        <v>100</v>
      </c>
      <c r="F16" t="s">
        <v>143</v>
      </c>
      <c r="G16" s="3">
        <v>38852</v>
      </c>
      <c r="H16" t="str">
        <f t="shared" si="0"/>
        <v>ABC-112247</v>
      </c>
      <c r="I16" t="s">
        <v>127</v>
      </c>
      <c r="J16" s="1">
        <v>43952</v>
      </c>
      <c r="K16" s="1" t="s">
        <v>122</v>
      </c>
      <c r="L16">
        <v>1</v>
      </c>
      <c r="M16" t="s">
        <v>74</v>
      </c>
      <c r="N16">
        <v>14</v>
      </c>
      <c r="O16">
        <v>11</v>
      </c>
      <c r="P16">
        <v>18</v>
      </c>
      <c r="Q16">
        <v>20</v>
      </c>
      <c r="R16" t="s">
        <v>75</v>
      </c>
      <c r="S16">
        <v>39</v>
      </c>
      <c r="T16">
        <v>8</v>
      </c>
      <c r="U16">
        <v>22</v>
      </c>
      <c r="V16">
        <v>18</v>
      </c>
      <c r="W16" t="s">
        <v>76</v>
      </c>
      <c r="X16">
        <v>58</v>
      </c>
      <c r="Y16">
        <v>15</v>
      </c>
      <c r="Z16">
        <v>22</v>
      </c>
      <c r="AA16">
        <v>10</v>
      </c>
      <c r="AB16" t="s">
        <v>77</v>
      </c>
      <c r="AC16">
        <v>52</v>
      </c>
      <c r="AD16">
        <v>15</v>
      </c>
      <c r="AE16">
        <v>20</v>
      </c>
      <c r="AF16">
        <v>15</v>
      </c>
      <c r="AG16" t="s">
        <v>78</v>
      </c>
      <c r="AH16">
        <v>58</v>
      </c>
      <c r="AI16">
        <v>15</v>
      </c>
      <c r="AJ16">
        <v>22</v>
      </c>
      <c r="AK16">
        <v>10</v>
      </c>
      <c r="AL16" t="s">
        <v>85</v>
      </c>
      <c r="AM16">
        <v>58</v>
      </c>
      <c r="AN16">
        <v>15</v>
      </c>
      <c r="AO16">
        <v>22</v>
      </c>
      <c r="AP16">
        <v>10</v>
      </c>
      <c r="AQ16">
        <v>750</v>
      </c>
      <c r="AR16">
        <f t="shared" ref="AR16:AR26" si="3">SUM(N16:AP16)</f>
        <v>567</v>
      </c>
      <c r="AS16" s="2">
        <f t="shared" ref="AS16:AS26" si="4">AR16/AQ16*100</f>
        <v>75.599999999999994</v>
      </c>
      <c r="AT16" t="s">
        <v>3</v>
      </c>
    </row>
    <row r="17" spans="1:46" x14ac:dyDescent="0.3">
      <c r="A17">
        <v>16</v>
      </c>
      <c r="B17">
        <v>112248</v>
      </c>
      <c r="C17" t="s">
        <v>89</v>
      </c>
      <c r="D17" t="s">
        <v>103</v>
      </c>
      <c r="E17" t="s">
        <v>102</v>
      </c>
      <c r="F17" t="s">
        <v>144</v>
      </c>
      <c r="G17" s="3">
        <v>38853</v>
      </c>
      <c r="H17" t="str">
        <f t="shared" si="0"/>
        <v>ABC-112248</v>
      </c>
      <c r="I17" t="s">
        <v>127</v>
      </c>
      <c r="J17" s="1">
        <v>43952</v>
      </c>
      <c r="K17" s="1" t="s">
        <v>122</v>
      </c>
      <c r="L17">
        <v>1</v>
      </c>
      <c r="M17" t="s">
        <v>74</v>
      </c>
      <c r="N17">
        <v>32</v>
      </c>
      <c r="O17">
        <v>20</v>
      </c>
      <c r="P17">
        <v>15</v>
      </c>
      <c r="Q17">
        <v>23</v>
      </c>
      <c r="R17" t="s">
        <v>75</v>
      </c>
      <c r="S17">
        <v>52</v>
      </c>
      <c r="T17">
        <v>15</v>
      </c>
      <c r="U17">
        <v>20</v>
      </c>
      <c r="V17">
        <v>15</v>
      </c>
      <c r="W17" t="s">
        <v>76</v>
      </c>
      <c r="X17">
        <v>42</v>
      </c>
      <c r="Y17">
        <v>14</v>
      </c>
      <c r="Z17">
        <v>22</v>
      </c>
      <c r="AA17">
        <v>22</v>
      </c>
      <c r="AB17" t="s">
        <v>77</v>
      </c>
      <c r="AC17">
        <v>73</v>
      </c>
      <c r="AD17">
        <v>18</v>
      </c>
      <c r="AE17">
        <v>10</v>
      </c>
      <c r="AF17">
        <v>23</v>
      </c>
      <c r="AG17" t="s">
        <v>78</v>
      </c>
      <c r="AH17">
        <v>42</v>
      </c>
      <c r="AI17">
        <v>14</v>
      </c>
      <c r="AJ17">
        <v>22</v>
      </c>
      <c r="AK17">
        <v>22</v>
      </c>
      <c r="AL17" t="s">
        <v>85</v>
      </c>
      <c r="AM17">
        <v>73</v>
      </c>
      <c r="AN17">
        <v>18</v>
      </c>
      <c r="AO17">
        <v>10</v>
      </c>
      <c r="AP17">
        <v>23</v>
      </c>
      <c r="AQ17">
        <v>750</v>
      </c>
      <c r="AR17">
        <f t="shared" si="3"/>
        <v>640</v>
      </c>
      <c r="AS17" s="2">
        <f t="shared" si="4"/>
        <v>85.333333333333343</v>
      </c>
      <c r="AT17" t="s">
        <v>3</v>
      </c>
    </row>
    <row r="18" spans="1:46" x14ac:dyDescent="0.3">
      <c r="A18">
        <v>17</v>
      </c>
      <c r="B18">
        <v>112249</v>
      </c>
      <c r="C18" t="s">
        <v>90</v>
      </c>
      <c r="D18" t="s">
        <v>105</v>
      </c>
      <c r="E18" t="s">
        <v>104</v>
      </c>
      <c r="F18" t="s">
        <v>145</v>
      </c>
      <c r="G18" s="3">
        <v>38854</v>
      </c>
      <c r="H18" t="str">
        <f t="shared" si="0"/>
        <v>ABC-112249</v>
      </c>
      <c r="I18" t="s">
        <v>127</v>
      </c>
      <c r="J18" s="1">
        <v>43952</v>
      </c>
      <c r="K18" s="1" t="s">
        <v>122</v>
      </c>
      <c r="L18">
        <v>1</v>
      </c>
      <c r="M18" t="s">
        <v>74</v>
      </c>
      <c r="N18">
        <v>54</v>
      </c>
      <c r="O18">
        <v>16</v>
      </c>
      <c r="P18">
        <v>23</v>
      </c>
      <c r="Q18">
        <v>22</v>
      </c>
      <c r="R18" t="s">
        <v>75</v>
      </c>
      <c r="S18">
        <v>73</v>
      </c>
      <c r="T18">
        <v>18</v>
      </c>
      <c r="U18">
        <v>10</v>
      </c>
      <c r="V18">
        <v>23</v>
      </c>
      <c r="W18" t="s">
        <v>76</v>
      </c>
      <c r="X18">
        <v>32</v>
      </c>
      <c r="Y18">
        <v>14</v>
      </c>
      <c r="Z18">
        <v>20</v>
      </c>
      <c r="AA18">
        <v>22</v>
      </c>
      <c r="AB18" t="s">
        <v>77</v>
      </c>
      <c r="AC18">
        <v>32</v>
      </c>
      <c r="AD18">
        <v>14</v>
      </c>
      <c r="AE18">
        <v>20</v>
      </c>
      <c r="AF18">
        <v>22</v>
      </c>
      <c r="AG18" t="s">
        <v>78</v>
      </c>
      <c r="AH18">
        <v>52</v>
      </c>
      <c r="AI18">
        <v>15</v>
      </c>
      <c r="AJ18">
        <v>20</v>
      </c>
      <c r="AK18">
        <v>15</v>
      </c>
      <c r="AL18" t="s">
        <v>85</v>
      </c>
      <c r="AM18">
        <v>32</v>
      </c>
      <c r="AN18">
        <v>14</v>
      </c>
      <c r="AO18">
        <v>20</v>
      </c>
      <c r="AP18">
        <v>22</v>
      </c>
      <c r="AQ18">
        <v>750</v>
      </c>
      <c r="AR18">
        <f t="shared" si="3"/>
        <v>605</v>
      </c>
      <c r="AS18" s="2">
        <f t="shared" si="4"/>
        <v>80.666666666666657</v>
      </c>
      <c r="AT18" t="s">
        <v>3</v>
      </c>
    </row>
    <row r="19" spans="1:46" x14ac:dyDescent="0.3">
      <c r="A19">
        <v>18</v>
      </c>
      <c r="B19">
        <v>112250</v>
      </c>
      <c r="C19" t="s">
        <v>91</v>
      </c>
      <c r="D19" t="s">
        <v>107</v>
      </c>
      <c r="E19" t="s">
        <v>106</v>
      </c>
      <c r="F19" t="s">
        <v>146</v>
      </c>
      <c r="G19" s="3">
        <v>38855</v>
      </c>
      <c r="H19" t="str">
        <f t="shared" si="0"/>
        <v>ABC-112250</v>
      </c>
      <c r="I19" t="s">
        <v>127</v>
      </c>
      <c r="J19" s="1">
        <v>43952</v>
      </c>
      <c r="K19" s="1" t="s">
        <v>122</v>
      </c>
      <c r="L19">
        <v>1</v>
      </c>
      <c r="M19" t="s">
        <v>74</v>
      </c>
      <c r="N19">
        <v>16</v>
      </c>
      <c r="O19">
        <v>12</v>
      </c>
      <c r="P19">
        <v>10</v>
      </c>
      <c r="Q19">
        <v>19</v>
      </c>
      <c r="R19" t="s">
        <v>75</v>
      </c>
      <c r="S19">
        <v>58</v>
      </c>
      <c r="T19">
        <v>15</v>
      </c>
      <c r="U19">
        <v>22</v>
      </c>
      <c r="V19">
        <v>10</v>
      </c>
      <c r="W19" t="s">
        <v>76</v>
      </c>
      <c r="X19">
        <v>35</v>
      </c>
      <c r="Y19">
        <v>12</v>
      </c>
      <c r="Z19">
        <v>15</v>
      </c>
      <c r="AA19">
        <v>20</v>
      </c>
      <c r="AB19" t="s">
        <v>77</v>
      </c>
      <c r="AC19">
        <v>35</v>
      </c>
      <c r="AD19">
        <v>12</v>
      </c>
      <c r="AE19">
        <v>15</v>
      </c>
      <c r="AF19">
        <v>20</v>
      </c>
      <c r="AG19" t="s">
        <v>78</v>
      </c>
      <c r="AH19">
        <v>58</v>
      </c>
      <c r="AI19">
        <v>15</v>
      </c>
      <c r="AJ19">
        <v>22</v>
      </c>
      <c r="AK19">
        <v>10</v>
      </c>
      <c r="AL19" t="s">
        <v>85</v>
      </c>
      <c r="AM19">
        <v>35</v>
      </c>
      <c r="AN19">
        <v>12</v>
      </c>
      <c r="AO19">
        <v>15</v>
      </c>
      <c r="AP19">
        <v>20</v>
      </c>
      <c r="AQ19">
        <v>750</v>
      </c>
      <c r="AR19">
        <f t="shared" si="3"/>
        <v>513</v>
      </c>
      <c r="AS19" s="2">
        <f t="shared" si="4"/>
        <v>68.400000000000006</v>
      </c>
      <c r="AT19" t="s">
        <v>3</v>
      </c>
    </row>
    <row r="20" spans="1:46" x14ac:dyDescent="0.3">
      <c r="A20">
        <v>19</v>
      </c>
      <c r="B20">
        <v>112251</v>
      </c>
      <c r="C20" t="s">
        <v>92</v>
      </c>
      <c r="D20" t="s">
        <v>109</v>
      </c>
      <c r="E20" t="s">
        <v>108</v>
      </c>
      <c r="F20" t="s">
        <v>147</v>
      </c>
      <c r="G20" s="3">
        <v>38856</v>
      </c>
      <c r="H20" t="str">
        <f t="shared" si="0"/>
        <v>ABC-112251</v>
      </c>
      <c r="I20" t="s">
        <v>127</v>
      </c>
      <c r="J20" s="1">
        <v>43952</v>
      </c>
      <c r="K20" s="1" t="s">
        <v>122</v>
      </c>
      <c r="L20">
        <v>1</v>
      </c>
      <c r="M20" t="s">
        <v>74</v>
      </c>
      <c r="N20">
        <v>68</v>
      </c>
      <c r="O20">
        <v>17</v>
      </c>
      <c r="P20">
        <v>22</v>
      </c>
      <c r="Q20">
        <v>24</v>
      </c>
      <c r="R20" t="s">
        <v>75</v>
      </c>
      <c r="S20">
        <v>42</v>
      </c>
      <c r="T20">
        <v>14</v>
      </c>
      <c r="U20">
        <v>22</v>
      </c>
      <c r="V20">
        <v>22</v>
      </c>
      <c r="W20" t="s">
        <v>76</v>
      </c>
      <c r="X20">
        <v>52</v>
      </c>
      <c r="Y20">
        <v>15</v>
      </c>
      <c r="Z20">
        <v>20</v>
      </c>
      <c r="AA20">
        <v>15</v>
      </c>
      <c r="AB20" t="s">
        <v>77</v>
      </c>
      <c r="AC20">
        <v>52</v>
      </c>
      <c r="AD20">
        <v>15</v>
      </c>
      <c r="AE20">
        <v>20</v>
      </c>
      <c r="AF20">
        <v>15</v>
      </c>
      <c r="AG20" t="s">
        <v>78</v>
      </c>
      <c r="AH20">
        <v>73</v>
      </c>
      <c r="AI20">
        <v>18</v>
      </c>
      <c r="AJ20">
        <v>10</v>
      </c>
      <c r="AK20">
        <v>23</v>
      </c>
      <c r="AL20" t="s">
        <v>85</v>
      </c>
      <c r="AM20">
        <v>58</v>
      </c>
      <c r="AN20">
        <v>15</v>
      </c>
      <c r="AO20">
        <v>22</v>
      </c>
      <c r="AP20">
        <v>10</v>
      </c>
      <c r="AQ20">
        <v>750</v>
      </c>
      <c r="AR20">
        <f t="shared" si="3"/>
        <v>664</v>
      </c>
      <c r="AS20" s="2">
        <f t="shared" si="4"/>
        <v>88.533333333333331</v>
      </c>
      <c r="AT20" t="s">
        <v>3</v>
      </c>
    </row>
    <row r="21" spans="1:46" x14ac:dyDescent="0.3">
      <c r="A21">
        <v>20</v>
      </c>
      <c r="B21">
        <v>112252</v>
      </c>
      <c r="C21" t="s">
        <v>93</v>
      </c>
      <c r="D21" t="s">
        <v>111</v>
      </c>
      <c r="E21" t="s">
        <v>110</v>
      </c>
      <c r="F21" t="s">
        <v>148</v>
      </c>
      <c r="G21" s="3">
        <v>38857</v>
      </c>
      <c r="H21" t="str">
        <f t="shared" si="0"/>
        <v>ABC-112252</v>
      </c>
      <c r="I21" t="s">
        <v>127</v>
      </c>
      <c r="J21" s="1">
        <v>43952</v>
      </c>
      <c r="K21" s="1" t="s">
        <v>122</v>
      </c>
      <c r="L21">
        <v>1</v>
      </c>
      <c r="M21" t="s">
        <v>74</v>
      </c>
      <c r="N21">
        <v>39</v>
      </c>
      <c r="O21">
        <v>8</v>
      </c>
      <c r="P21">
        <v>22</v>
      </c>
      <c r="Q21">
        <v>18</v>
      </c>
      <c r="R21" t="s">
        <v>75</v>
      </c>
      <c r="S21">
        <v>32</v>
      </c>
      <c r="T21">
        <v>14</v>
      </c>
      <c r="U21">
        <v>20</v>
      </c>
      <c r="V21">
        <v>22</v>
      </c>
      <c r="W21" t="s">
        <v>76</v>
      </c>
      <c r="X21">
        <v>73</v>
      </c>
      <c r="Y21">
        <v>18</v>
      </c>
      <c r="Z21">
        <v>10</v>
      </c>
      <c r="AA21">
        <v>23</v>
      </c>
      <c r="AB21" t="s">
        <v>77</v>
      </c>
      <c r="AC21">
        <v>58</v>
      </c>
      <c r="AD21">
        <v>15</v>
      </c>
      <c r="AE21">
        <v>22</v>
      </c>
      <c r="AF21">
        <v>10</v>
      </c>
      <c r="AG21" t="s">
        <v>78</v>
      </c>
      <c r="AH21">
        <v>32</v>
      </c>
      <c r="AI21">
        <v>14</v>
      </c>
      <c r="AJ21">
        <v>20</v>
      </c>
      <c r="AK21">
        <v>22</v>
      </c>
      <c r="AL21" t="s">
        <v>85</v>
      </c>
      <c r="AM21">
        <v>73</v>
      </c>
      <c r="AN21">
        <v>18</v>
      </c>
      <c r="AO21">
        <v>10</v>
      </c>
      <c r="AP21">
        <v>23</v>
      </c>
      <c r="AQ21">
        <v>750</v>
      </c>
      <c r="AR21">
        <f t="shared" si="3"/>
        <v>616</v>
      </c>
      <c r="AS21" s="2">
        <f t="shared" si="4"/>
        <v>82.13333333333334</v>
      </c>
      <c r="AT21" t="s">
        <v>3</v>
      </c>
    </row>
    <row r="22" spans="1:46" x14ac:dyDescent="0.3">
      <c r="A22">
        <v>21</v>
      </c>
      <c r="B22">
        <v>112253</v>
      </c>
      <c r="C22" t="s">
        <v>94</v>
      </c>
      <c r="D22" t="s">
        <v>113</v>
      </c>
      <c r="E22" t="s">
        <v>112</v>
      </c>
      <c r="F22" t="s">
        <v>149</v>
      </c>
      <c r="G22" s="3">
        <v>38858</v>
      </c>
      <c r="H22" t="str">
        <f t="shared" si="0"/>
        <v>ABC-112253</v>
      </c>
      <c r="I22" t="s">
        <v>127</v>
      </c>
      <c r="J22" s="1">
        <v>43952</v>
      </c>
      <c r="K22" s="1" t="s">
        <v>122</v>
      </c>
      <c r="L22">
        <v>1</v>
      </c>
      <c r="M22" t="s">
        <v>74</v>
      </c>
      <c r="N22">
        <v>52</v>
      </c>
      <c r="O22">
        <v>15</v>
      </c>
      <c r="P22">
        <v>20</v>
      </c>
      <c r="Q22">
        <v>15</v>
      </c>
      <c r="R22" t="s">
        <v>75</v>
      </c>
      <c r="S22">
        <v>35</v>
      </c>
      <c r="T22">
        <v>12</v>
      </c>
      <c r="U22">
        <v>15</v>
      </c>
      <c r="V22">
        <v>20</v>
      </c>
      <c r="W22" t="s">
        <v>76</v>
      </c>
      <c r="X22">
        <v>32</v>
      </c>
      <c r="Y22">
        <v>14</v>
      </c>
      <c r="Z22">
        <v>20</v>
      </c>
      <c r="AA22">
        <v>22</v>
      </c>
      <c r="AB22" t="s">
        <v>77</v>
      </c>
      <c r="AC22">
        <v>42</v>
      </c>
      <c r="AD22">
        <v>14</v>
      </c>
      <c r="AE22">
        <v>22</v>
      </c>
      <c r="AF22">
        <v>22</v>
      </c>
      <c r="AG22" t="s">
        <v>78</v>
      </c>
      <c r="AH22">
        <v>35</v>
      </c>
      <c r="AI22">
        <v>12</v>
      </c>
      <c r="AJ22">
        <v>15</v>
      </c>
      <c r="AK22">
        <v>20</v>
      </c>
      <c r="AL22" t="s">
        <v>85</v>
      </c>
      <c r="AM22">
        <v>32</v>
      </c>
      <c r="AN22">
        <v>14</v>
      </c>
      <c r="AO22">
        <v>20</v>
      </c>
      <c r="AP22">
        <v>22</v>
      </c>
      <c r="AQ22">
        <v>750</v>
      </c>
      <c r="AR22">
        <f t="shared" si="3"/>
        <v>542</v>
      </c>
      <c r="AS22" s="2">
        <f t="shared" si="4"/>
        <v>72.266666666666666</v>
      </c>
      <c r="AT22" t="s">
        <v>3</v>
      </c>
    </row>
    <row r="23" spans="1:46" x14ac:dyDescent="0.3">
      <c r="A23">
        <v>22</v>
      </c>
      <c r="B23">
        <v>112254</v>
      </c>
      <c r="C23" t="s">
        <v>95</v>
      </c>
      <c r="D23" t="s">
        <v>115</v>
      </c>
      <c r="E23" t="s">
        <v>114</v>
      </c>
      <c r="F23" t="s">
        <v>150</v>
      </c>
      <c r="G23" s="3">
        <v>38859</v>
      </c>
      <c r="H23" t="str">
        <f t="shared" si="0"/>
        <v>ABC-112254</v>
      </c>
      <c r="I23" t="s">
        <v>127</v>
      </c>
      <c r="J23" s="1">
        <v>43952</v>
      </c>
      <c r="K23" s="1" t="s">
        <v>122</v>
      </c>
      <c r="L23">
        <v>1</v>
      </c>
      <c r="M23" t="s">
        <v>74</v>
      </c>
      <c r="N23">
        <v>73</v>
      </c>
      <c r="O23">
        <v>18</v>
      </c>
      <c r="P23">
        <v>10</v>
      </c>
      <c r="Q23">
        <v>23</v>
      </c>
      <c r="R23" t="s">
        <v>75</v>
      </c>
      <c r="S23">
        <v>52</v>
      </c>
      <c r="T23">
        <v>15</v>
      </c>
      <c r="U23">
        <v>20</v>
      </c>
      <c r="V23">
        <v>15</v>
      </c>
      <c r="W23" t="s">
        <v>76</v>
      </c>
      <c r="X23">
        <v>35</v>
      </c>
      <c r="Y23">
        <v>12</v>
      </c>
      <c r="Z23">
        <v>15</v>
      </c>
      <c r="AA23">
        <v>20</v>
      </c>
      <c r="AB23" t="s">
        <v>77</v>
      </c>
      <c r="AC23">
        <v>52</v>
      </c>
      <c r="AD23">
        <v>15</v>
      </c>
      <c r="AE23">
        <v>20</v>
      </c>
      <c r="AF23">
        <v>15</v>
      </c>
      <c r="AG23" t="s">
        <v>78</v>
      </c>
      <c r="AH23">
        <v>52</v>
      </c>
      <c r="AI23">
        <v>15</v>
      </c>
      <c r="AJ23">
        <v>20</v>
      </c>
      <c r="AK23">
        <v>15</v>
      </c>
      <c r="AL23" t="s">
        <v>85</v>
      </c>
      <c r="AM23">
        <v>35</v>
      </c>
      <c r="AN23">
        <v>12</v>
      </c>
      <c r="AO23">
        <v>15</v>
      </c>
      <c r="AP23">
        <v>20</v>
      </c>
      <c r="AQ23">
        <v>750</v>
      </c>
      <c r="AR23">
        <f t="shared" si="3"/>
        <v>594</v>
      </c>
      <c r="AS23" s="2">
        <f t="shared" si="4"/>
        <v>79.2</v>
      </c>
      <c r="AT23" t="s">
        <v>3</v>
      </c>
    </row>
    <row r="24" spans="1:46" x14ac:dyDescent="0.3">
      <c r="A24">
        <v>23</v>
      </c>
      <c r="B24">
        <v>112255</v>
      </c>
      <c r="C24" t="s">
        <v>96</v>
      </c>
      <c r="D24" t="s">
        <v>117</v>
      </c>
      <c r="E24" t="s">
        <v>116</v>
      </c>
      <c r="F24" t="s">
        <v>151</v>
      </c>
      <c r="G24" s="3">
        <v>38860</v>
      </c>
      <c r="H24" t="str">
        <f t="shared" si="0"/>
        <v>ABC-112255</v>
      </c>
      <c r="I24" t="s">
        <v>127</v>
      </c>
      <c r="J24" s="1">
        <v>43952</v>
      </c>
      <c r="K24" s="1" t="s">
        <v>122</v>
      </c>
      <c r="L24">
        <v>1</v>
      </c>
      <c r="M24" t="s">
        <v>74</v>
      </c>
      <c r="N24">
        <v>58</v>
      </c>
      <c r="O24">
        <v>15</v>
      </c>
      <c r="P24">
        <v>22</v>
      </c>
      <c r="Q24">
        <v>10</v>
      </c>
      <c r="R24" t="s">
        <v>75</v>
      </c>
      <c r="S24">
        <v>73</v>
      </c>
      <c r="T24">
        <v>18</v>
      </c>
      <c r="U24">
        <v>10</v>
      </c>
      <c r="V24">
        <v>23</v>
      </c>
      <c r="W24" t="s">
        <v>76</v>
      </c>
      <c r="X24">
        <v>52</v>
      </c>
      <c r="Y24">
        <v>15</v>
      </c>
      <c r="Z24">
        <v>20</v>
      </c>
      <c r="AA24">
        <v>15</v>
      </c>
      <c r="AB24" t="s">
        <v>77</v>
      </c>
      <c r="AC24">
        <v>58</v>
      </c>
      <c r="AD24">
        <v>15</v>
      </c>
      <c r="AE24">
        <v>22</v>
      </c>
      <c r="AF24">
        <v>10</v>
      </c>
      <c r="AG24" t="s">
        <v>78</v>
      </c>
      <c r="AH24">
        <v>58</v>
      </c>
      <c r="AI24">
        <v>15</v>
      </c>
      <c r="AJ24">
        <v>22</v>
      </c>
      <c r="AK24">
        <v>10</v>
      </c>
      <c r="AL24" t="s">
        <v>85</v>
      </c>
      <c r="AM24">
        <v>58</v>
      </c>
      <c r="AN24">
        <v>15</v>
      </c>
      <c r="AO24">
        <v>22</v>
      </c>
      <c r="AP24">
        <v>10</v>
      </c>
      <c r="AQ24">
        <v>750</v>
      </c>
      <c r="AR24">
        <f t="shared" si="3"/>
        <v>646</v>
      </c>
      <c r="AS24" s="2">
        <f t="shared" si="4"/>
        <v>86.133333333333326</v>
      </c>
      <c r="AT24" t="s">
        <v>3</v>
      </c>
    </row>
    <row r="25" spans="1:46" x14ac:dyDescent="0.3">
      <c r="A25">
        <v>24</v>
      </c>
      <c r="B25">
        <v>112256</v>
      </c>
      <c r="C25" t="s">
        <v>97</v>
      </c>
      <c r="D25" t="s">
        <v>119</v>
      </c>
      <c r="E25" t="s">
        <v>118</v>
      </c>
      <c r="F25" t="s">
        <v>152</v>
      </c>
      <c r="G25" s="3">
        <v>38861</v>
      </c>
      <c r="H25" t="str">
        <f t="shared" si="0"/>
        <v>ABC-112256</v>
      </c>
      <c r="I25" t="s">
        <v>127</v>
      </c>
      <c r="J25" s="1">
        <v>43952</v>
      </c>
      <c r="K25" s="1" t="s">
        <v>122</v>
      </c>
      <c r="L25">
        <v>1</v>
      </c>
      <c r="M25" t="s">
        <v>74</v>
      </c>
      <c r="N25">
        <v>42</v>
      </c>
      <c r="O25">
        <v>14</v>
      </c>
      <c r="P25">
        <v>22</v>
      </c>
      <c r="Q25">
        <v>22</v>
      </c>
      <c r="R25" t="s">
        <v>75</v>
      </c>
      <c r="S25">
        <v>58</v>
      </c>
      <c r="T25">
        <v>15</v>
      </c>
      <c r="U25">
        <v>22</v>
      </c>
      <c r="V25">
        <v>10</v>
      </c>
      <c r="W25" t="s">
        <v>76</v>
      </c>
      <c r="X25">
        <v>58</v>
      </c>
      <c r="Y25">
        <v>15</v>
      </c>
      <c r="Z25">
        <v>22</v>
      </c>
      <c r="AA25">
        <v>10</v>
      </c>
      <c r="AB25" t="s">
        <v>77</v>
      </c>
      <c r="AC25">
        <v>73</v>
      </c>
      <c r="AD25">
        <v>18</v>
      </c>
      <c r="AE25">
        <v>10</v>
      </c>
      <c r="AF25">
        <v>23</v>
      </c>
      <c r="AG25" t="s">
        <v>78</v>
      </c>
      <c r="AH25">
        <v>58</v>
      </c>
      <c r="AI25">
        <v>15</v>
      </c>
      <c r="AJ25">
        <v>22</v>
      </c>
      <c r="AK25">
        <v>10</v>
      </c>
      <c r="AL25" t="s">
        <v>85</v>
      </c>
      <c r="AM25">
        <v>73</v>
      </c>
      <c r="AN25">
        <v>18</v>
      </c>
      <c r="AO25">
        <v>10</v>
      </c>
      <c r="AP25">
        <v>23</v>
      </c>
      <c r="AQ25">
        <v>750</v>
      </c>
      <c r="AR25">
        <f t="shared" si="3"/>
        <v>663</v>
      </c>
      <c r="AS25" s="2">
        <f t="shared" si="4"/>
        <v>88.4</v>
      </c>
      <c r="AT25" t="s">
        <v>3</v>
      </c>
    </row>
    <row r="26" spans="1:46" x14ac:dyDescent="0.3">
      <c r="A26">
        <v>25</v>
      </c>
      <c r="B26">
        <v>112257</v>
      </c>
      <c r="C26" t="s">
        <v>98</v>
      </c>
      <c r="D26" t="s">
        <v>121</v>
      </c>
      <c r="E26" t="s">
        <v>120</v>
      </c>
      <c r="F26" t="s">
        <v>153</v>
      </c>
      <c r="G26" s="3">
        <v>38862</v>
      </c>
      <c r="H26" t="str">
        <f t="shared" si="0"/>
        <v>ABC-112257</v>
      </c>
      <c r="I26" t="s">
        <v>127</v>
      </c>
      <c r="J26" s="1">
        <v>43952</v>
      </c>
      <c r="K26" s="1" t="s">
        <v>122</v>
      </c>
      <c r="L26">
        <v>1</v>
      </c>
      <c r="M26" t="s">
        <v>74</v>
      </c>
      <c r="N26">
        <v>32</v>
      </c>
      <c r="O26">
        <v>14</v>
      </c>
      <c r="P26">
        <v>20</v>
      </c>
      <c r="Q26">
        <v>22</v>
      </c>
      <c r="R26" t="s">
        <v>75</v>
      </c>
      <c r="S26">
        <v>42</v>
      </c>
      <c r="T26">
        <v>14</v>
      </c>
      <c r="U26">
        <v>22</v>
      </c>
      <c r="V26">
        <v>22</v>
      </c>
      <c r="W26" t="s">
        <v>76</v>
      </c>
      <c r="X26">
        <v>42</v>
      </c>
      <c r="Y26">
        <v>14</v>
      </c>
      <c r="Z26">
        <v>22</v>
      </c>
      <c r="AA26">
        <v>22</v>
      </c>
      <c r="AB26" t="s">
        <v>77</v>
      </c>
      <c r="AC26">
        <v>32</v>
      </c>
      <c r="AD26">
        <v>14</v>
      </c>
      <c r="AE26">
        <v>20</v>
      </c>
      <c r="AF26">
        <v>22</v>
      </c>
      <c r="AG26" t="s">
        <v>78</v>
      </c>
      <c r="AH26">
        <v>73</v>
      </c>
      <c r="AI26">
        <v>18</v>
      </c>
      <c r="AJ26">
        <v>10</v>
      </c>
      <c r="AK26">
        <v>23</v>
      </c>
      <c r="AL26" t="s">
        <v>85</v>
      </c>
      <c r="AM26">
        <v>32</v>
      </c>
      <c r="AN26">
        <v>14</v>
      </c>
      <c r="AO26">
        <v>20</v>
      </c>
      <c r="AP26">
        <v>22</v>
      </c>
      <c r="AQ26">
        <v>750</v>
      </c>
      <c r="AR26">
        <f t="shared" si="3"/>
        <v>588</v>
      </c>
      <c r="AS26" s="2">
        <f t="shared" si="4"/>
        <v>78.400000000000006</v>
      </c>
      <c r="AT26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Ramulu Janmanchi</dc:creator>
  <cp:lastModifiedBy>Raj More</cp:lastModifiedBy>
  <dcterms:created xsi:type="dcterms:W3CDTF">2023-11-06T04:54:18Z</dcterms:created>
  <dcterms:modified xsi:type="dcterms:W3CDTF">2024-12-05T06:05:19Z</dcterms:modified>
</cp:coreProperties>
</file>