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\\wsl.localhost\Ubuntu\home\omnissiah\Project\nodejs\react\Smart_Data_Management\sample_data_generator\sample_data\"/>
    </mc:Choice>
  </mc:AlternateContent>
  <xr:revisionPtr revIDLastSave="0" documentId="13_ncr:1_{781FCD56-ED9A-4709-8E48-54BDEC2B27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M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6" i="1" l="1"/>
  <c r="AS26" i="1" s="1"/>
  <c r="H26" i="1"/>
  <c r="AS25" i="1"/>
  <c r="AR25" i="1"/>
  <c r="H25" i="1"/>
  <c r="AR24" i="1"/>
  <c r="AS24" i="1" s="1"/>
  <c r="H24" i="1"/>
  <c r="AR23" i="1"/>
  <c r="AS23" i="1" s="1"/>
  <c r="H23" i="1"/>
  <c r="AR22" i="1"/>
  <c r="AS22" i="1" s="1"/>
  <c r="H22" i="1"/>
  <c r="AS21" i="1"/>
  <c r="AR21" i="1"/>
  <c r="H21" i="1"/>
  <c r="AR20" i="1"/>
  <c r="AS20" i="1" s="1"/>
  <c r="H20" i="1"/>
  <c r="AR19" i="1"/>
  <c r="AS19" i="1" s="1"/>
  <c r="H19" i="1"/>
  <c r="AR18" i="1"/>
  <c r="AS18" i="1" s="1"/>
  <c r="H18" i="1"/>
  <c r="AR17" i="1"/>
  <c r="AS17" i="1" s="1"/>
  <c r="H17" i="1"/>
  <c r="AR16" i="1"/>
  <c r="AS16" i="1" s="1"/>
  <c r="H16" i="1"/>
  <c r="AR15" i="1"/>
  <c r="AS15" i="1" s="1"/>
  <c r="H15" i="1"/>
  <c r="AS14" i="1"/>
  <c r="AR14" i="1"/>
  <c r="H14" i="1"/>
  <c r="AS13" i="1"/>
  <c r="AR13" i="1"/>
  <c r="H13" i="1"/>
  <c r="AR12" i="1"/>
  <c r="AS12" i="1" s="1"/>
  <c r="H12" i="1"/>
  <c r="AR11" i="1"/>
  <c r="AS11" i="1" s="1"/>
  <c r="H11" i="1"/>
  <c r="AR10" i="1"/>
  <c r="AS10" i="1" s="1"/>
  <c r="H10" i="1"/>
  <c r="AS9" i="1"/>
  <c r="AR9" i="1"/>
  <c r="H9" i="1"/>
  <c r="AR8" i="1"/>
  <c r="AS8" i="1" s="1"/>
  <c r="H8" i="1"/>
  <c r="AR7" i="1"/>
  <c r="AS7" i="1" s="1"/>
  <c r="H7" i="1"/>
  <c r="AR6" i="1"/>
  <c r="AS6" i="1" s="1"/>
  <c r="H6" i="1"/>
  <c r="AS5" i="1"/>
  <c r="AR5" i="1"/>
  <c r="H5" i="1"/>
  <c r="AR4" i="1"/>
  <c r="AS4" i="1" s="1"/>
  <c r="H4" i="1"/>
  <c r="AR3" i="1"/>
  <c r="AS3" i="1" s="1"/>
  <c r="H3" i="1"/>
  <c r="AR2" i="1"/>
  <c r="AS2" i="1" s="1"/>
  <c r="H2" i="1"/>
</calcChain>
</file>

<file path=xl/sharedStrings.xml><?xml version="1.0" encoding="utf-8"?>
<sst xmlns="http://schemas.openxmlformats.org/spreadsheetml/2006/main" count="372" uniqueCount="156">
  <si>
    <t>Exam_SEAT_NO</t>
  </si>
  <si>
    <t>REG_NO</t>
  </si>
  <si>
    <t>SUR_NAME</t>
  </si>
  <si>
    <t>FIRST_NAME</t>
  </si>
  <si>
    <t>LAST_NAME</t>
  </si>
  <si>
    <t>MOTHER_NAME</t>
  </si>
  <si>
    <t>DATE</t>
  </si>
  <si>
    <t>SMART_CARD_NO</t>
  </si>
  <si>
    <t>BRANCH</t>
  </si>
  <si>
    <t>EXAM_HELD_IN</t>
  </si>
  <si>
    <t>BRANCH_NAME</t>
  </si>
  <si>
    <t>SEMESTER</t>
  </si>
  <si>
    <t>SUB_1_NAME</t>
  </si>
  <si>
    <t>SUB_1_THEORY</t>
  </si>
  <si>
    <t>SUB_1_INTERNAL</t>
  </si>
  <si>
    <t>SUB_1_PRACTICAL_ORAL</t>
  </si>
  <si>
    <t>SUB_1_TERM_WORK</t>
  </si>
  <si>
    <t>SUB_2_NAME</t>
  </si>
  <si>
    <t>SUB_2_THEORY</t>
  </si>
  <si>
    <t>SUB_2_INTERNAL</t>
  </si>
  <si>
    <t>SUB_2_PRACTICAL_ORAL</t>
  </si>
  <si>
    <t>SUB_2_TERM_WORK</t>
  </si>
  <si>
    <t>SUB_3_NAME</t>
  </si>
  <si>
    <t>SUB_3_THEORY</t>
  </si>
  <si>
    <t>SUB_3_INTERNAL</t>
  </si>
  <si>
    <t>SUB_3_PRACTICAL_ORAL</t>
  </si>
  <si>
    <t>SUB_3_TERM_WORK</t>
  </si>
  <si>
    <t>SUB_4_NAME</t>
  </si>
  <si>
    <t>SUB_4_THEORY</t>
  </si>
  <si>
    <t>SUB_4_INTERNAL</t>
  </si>
  <si>
    <t>SUB_4_PRACTICAL_ORAL</t>
  </si>
  <si>
    <t>SUB_4_TERM_WORK</t>
  </si>
  <si>
    <t>SUB_5_NAME</t>
  </si>
  <si>
    <t>SUB_5_THEORY</t>
  </si>
  <si>
    <t>SUB_5_INTERNAL</t>
  </si>
  <si>
    <t>SUB_5_PRACTICAL_ORAL</t>
  </si>
  <si>
    <t>SUB_5_TERM_WORK</t>
  </si>
  <si>
    <t>SUB_6_NAME</t>
  </si>
  <si>
    <t>SUB_6_THEORY</t>
  </si>
  <si>
    <t>SUB_6_INTERNAL</t>
  </si>
  <si>
    <t>SUB_6_PRACTICAL_ORAL</t>
  </si>
  <si>
    <t>SUB_6_TERM_WORK</t>
  </si>
  <si>
    <t>TOTAL_MARKS</t>
  </si>
  <si>
    <t>SECURED_MARKS</t>
  </si>
  <si>
    <t>PERCENTAGE</t>
  </si>
  <si>
    <t>RESULT</t>
  </si>
  <si>
    <t>SURNAME1</t>
  </si>
  <si>
    <t>FIRST_NAME1</t>
  </si>
  <si>
    <t>LAST_NAME1</t>
  </si>
  <si>
    <t>MOTHER_1</t>
  </si>
  <si>
    <t>COMPUTER ENGINEERING</t>
  </si>
  <si>
    <t>ELECTRONICS ENGINEERING</t>
  </si>
  <si>
    <t>Applied Mathematics-I</t>
  </si>
  <si>
    <t>Applied Physics-I</t>
  </si>
  <si>
    <t>Applied Chemistry –I</t>
  </si>
  <si>
    <t>Engineering Mechanics</t>
  </si>
  <si>
    <t>Basic Electrical Engineering</t>
  </si>
  <si>
    <t>Environmental studies</t>
  </si>
  <si>
    <t>P</t>
  </si>
  <si>
    <t>SURNAME2</t>
  </si>
  <si>
    <t>FIRST_NAME2</t>
  </si>
  <si>
    <t>LAST_NAME2</t>
  </si>
  <si>
    <t>MOTHER_2</t>
  </si>
  <si>
    <t>SURNAME3</t>
  </si>
  <si>
    <t>FIRST_NAME3</t>
  </si>
  <si>
    <t>LAST_NAME3</t>
  </si>
  <si>
    <t>MOTHER_3</t>
  </si>
  <si>
    <t>SURNAME4</t>
  </si>
  <si>
    <t>FIRST_NAME4</t>
  </si>
  <si>
    <t>LAST_NAME4</t>
  </si>
  <si>
    <t>MOTHER_4</t>
  </si>
  <si>
    <t>SURNAME5</t>
  </si>
  <si>
    <t>FIRST_NAME5</t>
  </si>
  <si>
    <t>LAST_NAME5</t>
  </si>
  <si>
    <t>MOTHER_5</t>
  </si>
  <si>
    <t>SURNAME6</t>
  </si>
  <si>
    <t>FIRST_NAME6</t>
  </si>
  <si>
    <t>LAST_NAME6</t>
  </si>
  <si>
    <t>MOTHER_6</t>
  </si>
  <si>
    <t>SURNAME7</t>
  </si>
  <si>
    <t>FIRST_NAME7</t>
  </si>
  <si>
    <t>LAST_NAME7</t>
  </si>
  <si>
    <t>MOTHER_7</t>
  </si>
  <si>
    <t>SURNAME8</t>
  </si>
  <si>
    <t>FIRST_NAME8</t>
  </si>
  <si>
    <t>LAST_NAME8</t>
  </si>
  <si>
    <t>MOTHER_8</t>
  </si>
  <si>
    <t>SURNAME9</t>
  </si>
  <si>
    <t>FIRST_NAME9</t>
  </si>
  <si>
    <t>LAST_NAME9</t>
  </si>
  <si>
    <t>MOTHER_9</t>
  </si>
  <si>
    <t>SURNAME10</t>
  </si>
  <si>
    <t>FIRST_NAME10</t>
  </si>
  <si>
    <t>LAST_NAME10</t>
  </si>
  <si>
    <t>MOTHER_10</t>
  </si>
  <si>
    <t>SURNAME11</t>
  </si>
  <si>
    <t>FIRST_NAME11</t>
  </si>
  <si>
    <t>LAST_NAME11</t>
  </si>
  <si>
    <t>MOTHER_11</t>
  </si>
  <si>
    <t>SURNAME12</t>
  </si>
  <si>
    <t>FIRST_NAME12</t>
  </si>
  <si>
    <t>LAST_NAME12</t>
  </si>
  <si>
    <t>MOTHER_12</t>
  </si>
  <si>
    <t>SURNAME13</t>
  </si>
  <si>
    <t>FIRST_NAME13</t>
  </si>
  <si>
    <t>LAST_NAME13</t>
  </si>
  <si>
    <t>MOTHER_13</t>
  </si>
  <si>
    <t>SURNAME14</t>
  </si>
  <si>
    <t>FIRST_NAME14</t>
  </si>
  <si>
    <t>LAST_NAME14</t>
  </si>
  <si>
    <t>MOTHER_14</t>
  </si>
  <si>
    <t>SURNAME15</t>
  </si>
  <si>
    <t>FIRST_NAME15</t>
  </si>
  <si>
    <t>LAST_NAME15</t>
  </si>
  <si>
    <t>MOTHER_15</t>
  </si>
  <si>
    <t>SURNAME16</t>
  </si>
  <si>
    <t>FIRST_NAME16</t>
  </si>
  <si>
    <t>LAST_NAME16</t>
  </si>
  <si>
    <t>MOTHER_16</t>
  </si>
  <si>
    <t>SURNAME17</t>
  </si>
  <si>
    <t>FIRST_NAME17</t>
  </si>
  <si>
    <t>LAST_NAME17</t>
  </si>
  <si>
    <t>MOTHER_17</t>
  </si>
  <si>
    <t>SURNAME18</t>
  </si>
  <si>
    <t>FIRST_NAME18</t>
  </si>
  <si>
    <t>LAST_NAME18</t>
  </si>
  <si>
    <t>MOTHER_18</t>
  </si>
  <si>
    <t>SURNAME19</t>
  </si>
  <si>
    <t>FIRST_NAME19</t>
  </si>
  <si>
    <t>LAST_NAME19</t>
  </si>
  <si>
    <t>MOTHER_19</t>
  </si>
  <si>
    <t>SURNAME20</t>
  </si>
  <si>
    <t>FIRST_NAME20</t>
  </si>
  <si>
    <t>LAST_NAME20</t>
  </si>
  <si>
    <t>MOTHER_20</t>
  </si>
  <si>
    <t>SURNAME21</t>
  </si>
  <si>
    <t>FIRST_NAME21</t>
  </si>
  <si>
    <t>LAST_NAME21</t>
  </si>
  <si>
    <t>MOTHER_21</t>
  </si>
  <si>
    <t>SURNAME22</t>
  </si>
  <si>
    <t>FIRST_NAME22</t>
  </si>
  <si>
    <t>LAST_NAME22</t>
  </si>
  <si>
    <t>MOTHER_22</t>
  </si>
  <si>
    <t>SURNAME23</t>
  </si>
  <si>
    <t>FIRST_NAME23</t>
  </si>
  <si>
    <t>LAST_NAME23</t>
  </si>
  <si>
    <t>MOTHER_23</t>
  </si>
  <si>
    <t>SURNAME24</t>
  </si>
  <si>
    <t>FIRST_NAME24</t>
  </si>
  <si>
    <t>LAST_NAME24</t>
  </si>
  <si>
    <t>MOTHER_24</t>
  </si>
  <si>
    <t>SURNAME25</t>
  </si>
  <si>
    <t>FIRST_NAME25</t>
  </si>
  <si>
    <t>LAST_NAME25</t>
  </si>
  <si>
    <t>MOTHER_25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</si>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</sst>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7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17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/>
    <xf numFmtId="17" fontId="0" fillId="0" borderId="0" xfId="0" applyNumberFormat="1"/>
    <xf numFmtId="4" fontId="0" fillId="0" borderId="0" xfId="0" applyNumberFormat="1" applyAlignment="1">
      <alignment horizontal="right"/>
    </xf>
    <xf numFmtId="3" fontId="1" fillId="0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175260</xdr:colOff>
      <xdr:row>1</xdr:row>
      <xdr:rowOff>381000</xdr:rowOff>
    </xdr:from>
    <xdr:to>
      <xdr:col>46</xdr:col>
      <xdr:colOff>2552700</xdr:colOff>
      <xdr:row>1</xdr:row>
      <xdr:rowOff>1716024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E39CA9-6D42-83C1-A90E-DE3749E9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2</xdr:row>
      <xdr:rowOff>381000</xdr:rowOff>
    </xdr:from>
    <xdr:to>
      <xdr:col>46</xdr:col>
      <xdr:colOff>2552700</xdr:colOff>
      <xdr:row>2</xdr:row>
      <xdr:rowOff>1716024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8EB787-CE50-495D-9775-D7B5BE985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3</xdr:row>
      <xdr:rowOff>381000</xdr:rowOff>
    </xdr:from>
    <xdr:to>
      <xdr:col>46</xdr:col>
      <xdr:colOff>2552700</xdr:colOff>
      <xdr:row>3</xdr:row>
      <xdr:rowOff>1716024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90EB03-6DE7-4B65-8121-34D7B009C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4</xdr:row>
      <xdr:rowOff>381000</xdr:rowOff>
    </xdr:from>
    <xdr:to>
      <xdr:col>46</xdr:col>
      <xdr:colOff>2552700</xdr:colOff>
      <xdr:row>4</xdr:row>
      <xdr:rowOff>1716024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688A18-3F3A-4C18-8B46-2B328023C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5</xdr:row>
      <xdr:rowOff>381000</xdr:rowOff>
    </xdr:from>
    <xdr:to>
      <xdr:col>46</xdr:col>
      <xdr:colOff>2552700</xdr:colOff>
      <xdr:row>5</xdr:row>
      <xdr:rowOff>1716024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87998ED-84C8-460B-BF5D-2F093E62B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6</xdr:row>
      <xdr:rowOff>381000</xdr:rowOff>
    </xdr:from>
    <xdr:to>
      <xdr:col>46</xdr:col>
      <xdr:colOff>2552700</xdr:colOff>
      <xdr:row>6</xdr:row>
      <xdr:rowOff>1716024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8023CE-7B64-4FD8-BBDC-19C86DBDB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7</xdr:row>
      <xdr:rowOff>381000</xdr:rowOff>
    </xdr:from>
    <xdr:to>
      <xdr:col>46</xdr:col>
      <xdr:colOff>2552700</xdr:colOff>
      <xdr:row>7</xdr:row>
      <xdr:rowOff>1716024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87515D0-5833-4EF7-A175-3F0BF54CE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8</xdr:row>
      <xdr:rowOff>381000</xdr:rowOff>
    </xdr:from>
    <xdr:to>
      <xdr:col>46</xdr:col>
      <xdr:colOff>2552700</xdr:colOff>
      <xdr:row>8</xdr:row>
      <xdr:rowOff>1716024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74D4ED-D9C5-429F-BB25-79D7608A2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9</xdr:row>
      <xdr:rowOff>381000</xdr:rowOff>
    </xdr:from>
    <xdr:to>
      <xdr:col>46</xdr:col>
      <xdr:colOff>2552700</xdr:colOff>
      <xdr:row>9</xdr:row>
      <xdr:rowOff>1716024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BF2B5CD-4869-4077-A151-6B3C36F72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10</xdr:row>
      <xdr:rowOff>381000</xdr:rowOff>
    </xdr:from>
    <xdr:to>
      <xdr:col>46</xdr:col>
      <xdr:colOff>2552700</xdr:colOff>
      <xdr:row>10</xdr:row>
      <xdr:rowOff>1716024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0DD6C39-E34E-4D71-A7E1-8B5A1040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11</xdr:row>
      <xdr:rowOff>381000</xdr:rowOff>
    </xdr:from>
    <xdr:to>
      <xdr:col>46</xdr:col>
      <xdr:colOff>2552700</xdr:colOff>
      <xdr:row>11</xdr:row>
      <xdr:rowOff>1716024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4E1937-38DA-4D18-8E2D-4A2775C7A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12</xdr:row>
      <xdr:rowOff>381000</xdr:rowOff>
    </xdr:from>
    <xdr:to>
      <xdr:col>46</xdr:col>
      <xdr:colOff>2552700</xdr:colOff>
      <xdr:row>12</xdr:row>
      <xdr:rowOff>1716024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38CA0B9-859C-49DD-A781-E1562AC28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13</xdr:row>
      <xdr:rowOff>381000</xdr:rowOff>
    </xdr:from>
    <xdr:to>
      <xdr:col>46</xdr:col>
      <xdr:colOff>2552700</xdr:colOff>
      <xdr:row>13</xdr:row>
      <xdr:rowOff>1716024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8233333-B91F-4026-B0D0-4041F4892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14</xdr:row>
      <xdr:rowOff>381000</xdr:rowOff>
    </xdr:from>
    <xdr:to>
      <xdr:col>46</xdr:col>
      <xdr:colOff>2552700</xdr:colOff>
      <xdr:row>14</xdr:row>
      <xdr:rowOff>1716024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CC6A20B-B9AF-4FEA-9799-E2573748A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15</xdr:row>
      <xdr:rowOff>381000</xdr:rowOff>
    </xdr:from>
    <xdr:to>
      <xdr:col>46</xdr:col>
      <xdr:colOff>2552700</xdr:colOff>
      <xdr:row>15</xdr:row>
      <xdr:rowOff>1716024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F13D5AA-3662-49FB-AC37-E91CF0EC7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16</xdr:row>
      <xdr:rowOff>381000</xdr:rowOff>
    </xdr:from>
    <xdr:to>
      <xdr:col>46</xdr:col>
      <xdr:colOff>2552700</xdr:colOff>
      <xdr:row>16</xdr:row>
      <xdr:rowOff>1716024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9C3D1FA-A758-4B7A-B4F3-7C82DFDDF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17</xdr:row>
      <xdr:rowOff>381000</xdr:rowOff>
    </xdr:from>
    <xdr:to>
      <xdr:col>46</xdr:col>
      <xdr:colOff>2552700</xdr:colOff>
      <xdr:row>17</xdr:row>
      <xdr:rowOff>1716024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D883E3E-C398-49D1-B61B-E520EEEE7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18</xdr:row>
      <xdr:rowOff>381000</xdr:rowOff>
    </xdr:from>
    <xdr:to>
      <xdr:col>46</xdr:col>
      <xdr:colOff>2552700</xdr:colOff>
      <xdr:row>18</xdr:row>
      <xdr:rowOff>1716024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B2AEAE3-1786-4CE1-809B-61C8974F1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19</xdr:row>
      <xdr:rowOff>381000</xdr:rowOff>
    </xdr:from>
    <xdr:to>
      <xdr:col>46</xdr:col>
      <xdr:colOff>2552700</xdr:colOff>
      <xdr:row>19</xdr:row>
      <xdr:rowOff>1716024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18110DA-172D-401E-B6CB-5FC17BF9C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20</xdr:row>
      <xdr:rowOff>381000</xdr:rowOff>
    </xdr:from>
    <xdr:to>
      <xdr:col>46</xdr:col>
      <xdr:colOff>2552700</xdr:colOff>
      <xdr:row>20</xdr:row>
      <xdr:rowOff>1716024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8A74893-F1DB-4235-A0BD-1EE7EC0BA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21</xdr:row>
      <xdr:rowOff>381000</xdr:rowOff>
    </xdr:from>
    <xdr:to>
      <xdr:col>46</xdr:col>
      <xdr:colOff>2552700</xdr:colOff>
      <xdr:row>21</xdr:row>
      <xdr:rowOff>1716024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9C97F30-8259-481F-90B3-26B2FEB9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22</xdr:row>
      <xdr:rowOff>381000</xdr:rowOff>
    </xdr:from>
    <xdr:to>
      <xdr:col>46</xdr:col>
      <xdr:colOff>2552700</xdr:colOff>
      <xdr:row>22</xdr:row>
      <xdr:rowOff>1716024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95D20F4-ADD5-4E5A-90B3-2541A157D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23</xdr:row>
      <xdr:rowOff>381000</xdr:rowOff>
    </xdr:from>
    <xdr:to>
      <xdr:col>46</xdr:col>
      <xdr:colOff>2552700</xdr:colOff>
      <xdr:row>23</xdr:row>
      <xdr:rowOff>1716024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DFBA6DA-A126-4B61-9C5E-9A1D32BFE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24</xdr:row>
      <xdr:rowOff>381000</xdr:rowOff>
    </xdr:from>
    <xdr:to>
      <xdr:col>46</xdr:col>
      <xdr:colOff>2552700</xdr:colOff>
      <xdr:row>24</xdr:row>
      <xdr:rowOff>1716024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50A8987-546F-489E-B3DA-18148FBAD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  <xdr:twoCellAnchor>
    <xdr:from>
      <xdr:col>46</xdr:col>
      <xdr:colOff>175260</xdr:colOff>
      <xdr:row>25</xdr:row>
      <xdr:rowOff>381000</xdr:rowOff>
    </xdr:from>
    <xdr:to>
      <xdr:col>46</xdr:col>
      <xdr:colOff>2552700</xdr:colOff>
      <xdr:row>25</xdr:row>
      <xdr:rowOff>1716024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77E713A-CC3A-4CD3-A0C0-2B03C5DF2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0" y="624840"/>
          <a:ext cx="2377440" cy="1335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6"/>
  <sheetViews>
    <sheetView tabSelected="1" topLeftCell="AL1" workbookViewId="0">
      <selection activeCell="AU3" sqref="AU3"/>
    </sheetView>
  </sheetViews>
  <sheetFormatPr defaultRowHeight="14.4" x14ac:dyDescent="0.3"/>
  <cols>
    <col min="1" max="1" width="15" style="11" bestFit="1" customWidth="1"/>
    <col min="2" max="2" width="9.109375" style="11" bestFit="1" customWidth="1"/>
    <col min="3" max="3" width="11.88671875" bestFit="1" customWidth="1"/>
    <col min="4" max="4" width="14.33203125" bestFit="1" customWidth="1"/>
    <col min="5" max="5" width="13.6640625" bestFit="1" customWidth="1"/>
    <col min="6" max="6" width="16" bestFit="1" customWidth="1"/>
    <col min="7" max="7" width="13.6640625" style="12" bestFit="1" customWidth="1"/>
    <col min="8" max="8" width="17" bestFit="1" customWidth="1"/>
    <col min="9" max="9" width="23.88671875" bestFit="1" customWidth="1"/>
    <col min="10" max="10" width="14.6640625" style="13" bestFit="1" customWidth="1"/>
    <col min="11" max="11" width="25.88671875" bestFit="1" customWidth="1"/>
    <col min="12" max="12" width="9.88671875" style="11" bestFit="1" customWidth="1"/>
    <col min="13" max="13" width="21.5546875" bestFit="1" customWidth="1"/>
    <col min="14" max="14" width="14.44140625" style="11" bestFit="1" customWidth="1"/>
    <col min="15" max="15" width="16.33203125" style="11" bestFit="1" customWidth="1"/>
    <col min="16" max="16" width="22.88671875" style="11" bestFit="1" customWidth="1"/>
    <col min="17" max="17" width="19.109375" style="11" bestFit="1" customWidth="1"/>
    <col min="18" max="18" width="16.33203125" bestFit="1" customWidth="1"/>
    <col min="19" max="19" width="14.44140625" style="11" bestFit="1" customWidth="1"/>
    <col min="20" max="20" width="16.33203125" style="11" bestFit="1" customWidth="1"/>
    <col min="21" max="21" width="22.88671875" style="11" bestFit="1" customWidth="1"/>
    <col min="22" max="22" width="19.109375" style="11" bestFit="1" customWidth="1"/>
    <col min="23" max="23" width="19.6640625" bestFit="1" customWidth="1"/>
    <col min="24" max="24" width="14.44140625" style="11" bestFit="1" customWidth="1"/>
    <col min="25" max="25" width="16.33203125" style="11" bestFit="1" customWidth="1"/>
    <col min="26" max="26" width="22.88671875" style="11" bestFit="1" customWidth="1"/>
    <col min="27" max="27" width="19.109375" style="11" bestFit="1" customWidth="1"/>
    <col min="28" max="28" width="21.6640625" bestFit="1" customWidth="1"/>
    <col min="29" max="29" width="14.44140625" style="11" bestFit="1" customWidth="1"/>
    <col min="30" max="30" width="16.33203125" style="11" bestFit="1" customWidth="1"/>
    <col min="31" max="31" width="22.88671875" style="11" bestFit="1" customWidth="1"/>
    <col min="32" max="32" width="19.109375" style="11" bestFit="1" customWidth="1"/>
    <col min="33" max="33" width="25.33203125" bestFit="1" customWidth="1"/>
    <col min="34" max="34" width="14.44140625" style="11" bestFit="1" customWidth="1"/>
    <col min="35" max="35" width="16.33203125" style="11" bestFit="1" customWidth="1"/>
    <col min="36" max="36" width="22.88671875" style="11" bestFit="1" customWidth="1"/>
    <col min="37" max="37" width="19.109375" style="11" bestFit="1" customWidth="1"/>
    <col min="38" max="38" width="21.109375" bestFit="1" customWidth="1"/>
    <col min="39" max="39" width="14.44140625" style="11" bestFit="1" customWidth="1"/>
    <col min="40" max="40" width="16.33203125" style="11" bestFit="1" customWidth="1"/>
    <col min="41" max="41" width="22.88671875" style="11" bestFit="1" customWidth="1"/>
    <col min="42" max="42" width="19.109375" style="11" bestFit="1" customWidth="1"/>
    <col min="43" max="43" width="14" style="11" bestFit="1" customWidth="1"/>
    <col min="44" max="44" width="16.33203125" style="11" bestFit="1" customWidth="1"/>
    <col min="45" max="45" width="12.44140625" style="14" bestFit="1" customWidth="1"/>
    <col min="46" max="46" width="7.33203125" bestFit="1" customWidth="1"/>
    <col min="47" max="47" width="38.77734375" customWidth="1"/>
  </cols>
  <sheetData>
    <row r="1" spans="1:47" ht="19.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5" t="s">
        <v>44</v>
      </c>
      <c r="AT1" s="2" t="s">
        <v>45</v>
      </c>
      <c r="AU1" s="15" t="s">
        <v>155</v>
      </c>
    </row>
    <row r="2" spans="1:47" ht="119.4" customHeight="1" x14ac:dyDescent="0.3">
      <c r="A2" s="6">
        <v>1</v>
      </c>
      <c r="B2" s="6">
        <v>112233</v>
      </c>
      <c r="C2" t="s">
        <v>46</v>
      </c>
      <c r="D2" t="s">
        <v>47</v>
      </c>
      <c r="E2" t="s">
        <v>48</v>
      </c>
      <c r="F2" t="s">
        <v>49</v>
      </c>
      <c r="G2" s="7">
        <v>38838</v>
      </c>
      <c r="H2" t="str">
        <f t="shared" ref="H2:H26" si="0">"ABC-"&amp;B2</f>
        <v>ABC-112233</v>
      </c>
      <c r="I2" t="s">
        <v>50</v>
      </c>
      <c r="J2" s="8">
        <v>43952</v>
      </c>
      <c r="K2" s="9" t="s">
        <v>51</v>
      </c>
      <c r="L2" s="6">
        <v>1</v>
      </c>
      <c r="M2" t="s">
        <v>52</v>
      </c>
      <c r="N2" s="6">
        <v>45</v>
      </c>
      <c r="O2" s="6">
        <v>11</v>
      </c>
      <c r="P2" s="6">
        <v>24</v>
      </c>
      <c r="Q2" s="6">
        <v>17</v>
      </c>
      <c r="R2" t="s">
        <v>53</v>
      </c>
      <c r="S2" s="6">
        <v>68</v>
      </c>
      <c r="T2" s="6">
        <v>17</v>
      </c>
      <c r="U2" s="6">
        <v>22</v>
      </c>
      <c r="V2" s="6">
        <v>24</v>
      </c>
      <c r="W2" t="s">
        <v>54</v>
      </c>
      <c r="X2" s="6">
        <v>73</v>
      </c>
      <c r="Y2" s="6">
        <v>18</v>
      </c>
      <c r="Z2" s="6">
        <v>10</v>
      </c>
      <c r="AA2" s="6">
        <v>23</v>
      </c>
      <c r="AB2" t="s">
        <v>55</v>
      </c>
      <c r="AC2" s="6">
        <v>35</v>
      </c>
      <c r="AD2" s="6">
        <v>12</v>
      </c>
      <c r="AE2" s="6">
        <v>15</v>
      </c>
      <c r="AF2" s="6">
        <v>20</v>
      </c>
      <c r="AG2" t="s">
        <v>56</v>
      </c>
      <c r="AH2" s="6">
        <v>52</v>
      </c>
      <c r="AI2" s="6">
        <v>15</v>
      </c>
      <c r="AJ2" s="6">
        <v>20</v>
      </c>
      <c r="AK2" s="6">
        <v>15</v>
      </c>
      <c r="AL2" t="s">
        <v>57</v>
      </c>
      <c r="AM2" s="6">
        <v>35</v>
      </c>
      <c r="AN2" s="6">
        <v>12</v>
      </c>
      <c r="AO2" s="6">
        <v>15</v>
      </c>
      <c r="AP2" s="6">
        <v>20</v>
      </c>
      <c r="AQ2" s="6">
        <v>750</v>
      </c>
      <c r="AR2" s="6">
        <f t="shared" ref="AR2:AR26" si="1">SUM(N2:AP2)</f>
        <v>618</v>
      </c>
      <c r="AS2" s="10">
        <f t="shared" ref="AS2:AS26" si="2">AR2/AQ2*100</f>
        <v>82.399999999999991</v>
      </c>
      <c r="AT2" t="s">
        <v>58</v>
      </c>
    </row>
    <row r="3" spans="1:47" ht="170.4" customHeight="1" x14ac:dyDescent="0.3">
      <c r="A3" s="6">
        <v>2</v>
      </c>
      <c r="B3" s="6">
        <v>112234</v>
      </c>
      <c r="C3" t="s">
        <v>59</v>
      </c>
      <c r="D3" t="s">
        <v>60</v>
      </c>
      <c r="E3" t="s">
        <v>61</v>
      </c>
      <c r="F3" t="s">
        <v>62</v>
      </c>
      <c r="G3" s="7">
        <v>38839</v>
      </c>
      <c r="H3" t="str">
        <f t="shared" si="0"/>
        <v>ABC-112234</v>
      </c>
      <c r="I3" t="s">
        <v>50</v>
      </c>
      <c r="J3" s="8">
        <v>43952</v>
      </c>
      <c r="K3" s="9" t="s">
        <v>51</v>
      </c>
      <c r="L3" s="6">
        <v>1</v>
      </c>
      <c r="M3" t="s">
        <v>52</v>
      </c>
      <c r="N3" s="6">
        <v>14</v>
      </c>
      <c r="O3" s="6">
        <v>11</v>
      </c>
      <c r="P3" s="6">
        <v>18</v>
      </c>
      <c r="Q3" s="6">
        <v>20</v>
      </c>
      <c r="R3" t="s">
        <v>53</v>
      </c>
      <c r="S3" s="6">
        <v>39</v>
      </c>
      <c r="T3" s="6">
        <v>8</v>
      </c>
      <c r="U3" s="6">
        <v>22</v>
      </c>
      <c r="V3" s="6">
        <v>18</v>
      </c>
      <c r="W3" t="s">
        <v>54</v>
      </c>
      <c r="X3" s="6">
        <v>58</v>
      </c>
      <c r="Y3" s="6">
        <v>15</v>
      </c>
      <c r="Z3" s="6">
        <v>22</v>
      </c>
      <c r="AA3" s="6">
        <v>10</v>
      </c>
      <c r="AB3" t="s">
        <v>55</v>
      </c>
      <c r="AC3" s="6">
        <v>52</v>
      </c>
      <c r="AD3" s="6">
        <v>15</v>
      </c>
      <c r="AE3" s="6">
        <v>20</v>
      </c>
      <c r="AF3" s="6">
        <v>15</v>
      </c>
      <c r="AG3" t="s">
        <v>56</v>
      </c>
      <c r="AH3" s="6">
        <v>58</v>
      </c>
      <c r="AI3" s="6">
        <v>15</v>
      </c>
      <c r="AJ3" s="6">
        <v>22</v>
      </c>
      <c r="AK3" s="6">
        <v>10</v>
      </c>
      <c r="AL3" t="s">
        <v>57</v>
      </c>
      <c r="AM3" s="6">
        <v>58</v>
      </c>
      <c r="AN3" s="6">
        <v>15</v>
      </c>
      <c r="AO3" s="6">
        <v>22</v>
      </c>
      <c r="AP3" s="6">
        <v>10</v>
      </c>
      <c r="AQ3" s="6">
        <v>750</v>
      </c>
      <c r="AR3" s="6">
        <f t="shared" si="1"/>
        <v>567</v>
      </c>
      <c r="AS3" s="10">
        <f t="shared" si="2"/>
        <v>75.599999999999994</v>
      </c>
      <c r="AT3" t="s">
        <v>58</v>
      </c>
    </row>
    <row r="4" spans="1:47" ht="18.75" customHeight="1" x14ac:dyDescent="0.3">
      <c r="A4" s="6">
        <v>3</v>
      </c>
      <c r="B4" s="6">
        <v>112235</v>
      </c>
      <c r="C4" t="s">
        <v>63</v>
      </c>
      <c r="D4" t="s">
        <v>64</v>
      </c>
      <c r="E4" t="s">
        <v>65</v>
      </c>
      <c r="F4" t="s">
        <v>66</v>
      </c>
      <c r="G4" s="7">
        <v>38840</v>
      </c>
      <c r="H4" t="str">
        <f t="shared" si="0"/>
        <v>ABC-112235</v>
      </c>
      <c r="I4" t="s">
        <v>50</v>
      </c>
      <c r="J4" s="8">
        <v>43952</v>
      </c>
      <c r="K4" s="9" t="s">
        <v>51</v>
      </c>
      <c r="L4" s="6">
        <v>1</v>
      </c>
      <c r="M4" t="s">
        <v>52</v>
      </c>
      <c r="N4" s="6">
        <v>32</v>
      </c>
      <c r="O4" s="6">
        <v>20</v>
      </c>
      <c r="P4" s="6">
        <v>15</v>
      </c>
      <c r="Q4" s="6">
        <v>23</v>
      </c>
      <c r="R4" t="s">
        <v>53</v>
      </c>
      <c r="S4" s="6">
        <v>52</v>
      </c>
      <c r="T4" s="6">
        <v>15</v>
      </c>
      <c r="U4" s="6">
        <v>20</v>
      </c>
      <c r="V4" s="6">
        <v>15</v>
      </c>
      <c r="W4" t="s">
        <v>54</v>
      </c>
      <c r="X4" s="6">
        <v>42</v>
      </c>
      <c r="Y4" s="6">
        <v>14</v>
      </c>
      <c r="Z4" s="6">
        <v>22</v>
      </c>
      <c r="AA4" s="6">
        <v>22</v>
      </c>
      <c r="AB4" t="s">
        <v>55</v>
      </c>
      <c r="AC4" s="6">
        <v>73</v>
      </c>
      <c r="AD4" s="6">
        <v>18</v>
      </c>
      <c r="AE4" s="6">
        <v>10</v>
      </c>
      <c r="AF4" s="6">
        <v>23</v>
      </c>
      <c r="AG4" t="s">
        <v>56</v>
      </c>
      <c r="AH4" s="6">
        <v>42</v>
      </c>
      <c r="AI4" s="6">
        <v>14</v>
      </c>
      <c r="AJ4" s="6">
        <v>22</v>
      </c>
      <c r="AK4" s="6">
        <v>22</v>
      </c>
      <c r="AL4" t="s">
        <v>57</v>
      </c>
      <c r="AM4" s="6">
        <v>73</v>
      </c>
      <c r="AN4" s="6">
        <v>18</v>
      </c>
      <c r="AO4" s="6">
        <v>10</v>
      </c>
      <c r="AP4" s="6">
        <v>23</v>
      </c>
      <c r="AQ4" s="6">
        <v>750</v>
      </c>
      <c r="AR4" s="6">
        <f t="shared" si="1"/>
        <v>640</v>
      </c>
      <c r="AS4" s="10">
        <f t="shared" si="2"/>
        <v>85.333333333333343</v>
      </c>
      <c r="AT4" t="s">
        <v>58</v>
      </c>
    </row>
    <row r="5" spans="1:47" ht="18.75" customHeight="1" x14ac:dyDescent="0.3">
      <c r="A5" s="6">
        <v>4</v>
      </c>
      <c r="B5" s="6">
        <v>112236</v>
      </c>
      <c r="C5" t="s">
        <v>67</v>
      </c>
      <c r="D5" t="s">
        <v>68</v>
      </c>
      <c r="E5" t="s">
        <v>69</v>
      </c>
      <c r="F5" t="s">
        <v>70</v>
      </c>
      <c r="G5" s="7">
        <v>38841</v>
      </c>
      <c r="H5" t="str">
        <f t="shared" si="0"/>
        <v>ABC-112236</v>
      </c>
      <c r="I5" t="s">
        <v>50</v>
      </c>
      <c r="J5" s="8">
        <v>43952</v>
      </c>
      <c r="K5" s="9" t="s">
        <v>51</v>
      </c>
      <c r="L5" s="6">
        <v>1</v>
      </c>
      <c r="M5" t="s">
        <v>52</v>
      </c>
      <c r="N5" s="6">
        <v>54</v>
      </c>
      <c r="O5" s="6">
        <v>16</v>
      </c>
      <c r="P5" s="6">
        <v>23</v>
      </c>
      <c r="Q5" s="6">
        <v>22</v>
      </c>
      <c r="R5" t="s">
        <v>53</v>
      </c>
      <c r="S5" s="6">
        <v>73</v>
      </c>
      <c r="T5" s="6">
        <v>18</v>
      </c>
      <c r="U5" s="6">
        <v>10</v>
      </c>
      <c r="V5" s="6">
        <v>23</v>
      </c>
      <c r="W5" t="s">
        <v>54</v>
      </c>
      <c r="X5" s="6">
        <v>32</v>
      </c>
      <c r="Y5" s="6">
        <v>14</v>
      </c>
      <c r="Z5" s="6">
        <v>20</v>
      </c>
      <c r="AA5" s="6">
        <v>22</v>
      </c>
      <c r="AB5" t="s">
        <v>55</v>
      </c>
      <c r="AC5" s="6">
        <v>32</v>
      </c>
      <c r="AD5" s="6">
        <v>14</v>
      </c>
      <c r="AE5" s="6">
        <v>20</v>
      </c>
      <c r="AF5" s="6">
        <v>22</v>
      </c>
      <c r="AG5" t="s">
        <v>56</v>
      </c>
      <c r="AH5" s="6">
        <v>52</v>
      </c>
      <c r="AI5" s="6">
        <v>15</v>
      </c>
      <c r="AJ5" s="6">
        <v>20</v>
      </c>
      <c r="AK5" s="6">
        <v>15</v>
      </c>
      <c r="AL5" t="s">
        <v>57</v>
      </c>
      <c r="AM5" s="6">
        <v>32</v>
      </c>
      <c r="AN5" s="6">
        <v>14</v>
      </c>
      <c r="AO5" s="6">
        <v>20</v>
      </c>
      <c r="AP5" s="6">
        <v>22</v>
      </c>
      <c r="AQ5" s="6">
        <v>750</v>
      </c>
      <c r="AR5" s="6">
        <f t="shared" si="1"/>
        <v>605</v>
      </c>
      <c r="AS5" s="10">
        <f t="shared" si="2"/>
        <v>80.666666666666657</v>
      </c>
      <c r="AT5" t="s">
        <v>58</v>
      </c>
    </row>
    <row r="6" spans="1:47" ht="18.75" customHeight="1" x14ac:dyDescent="0.3">
      <c r="A6" s="6">
        <v>5</v>
      </c>
      <c r="B6" s="6">
        <v>112237</v>
      </c>
      <c r="C6" t="s">
        <v>71</v>
      </c>
      <c r="D6" t="s">
        <v>72</v>
      </c>
      <c r="E6" t="s">
        <v>73</v>
      </c>
      <c r="F6" t="s">
        <v>74</v>
      </c>
      <c r="G6" s="7">
        <v>38842</v>
      </c>
      <c r="H6" t="str">
        <f t="shared" si="0"/>
        <v>ABC-112237</v>
      </c>
      <c r="I6" t="s">
        <v>50</v>
      </c>
      <c r="J6" s="8">
        <v>43952</v>
      </c>
      <c r="K6" s="9" t="s">
        <v>51</v>
      </c>
      <c r="L6" s="6">
        <v>1</v>
      </c>
      <c r="M6" t="s">
        <v>52</v>
      </c>
      <c r="N6" s="6">
        <v>16</v>
      </c>
      <c r="O6" s="6">
        <v>12</v>
      </c>
      <c r="P6" s="6">
        <v>10</v>
      </c>
      <c r="Q6" s="6">
        <v>19</v>
      </c>
      <c r="R6" t="s">
        <v>53</v>
      </c>
      <c r="S6" s="6">
        <v>58</v>
      </c>
      <c r="T6" s="6">
        <v>15</v>
      </c>
      <c r="U6" s="6">
        <v>22</v>
      </c>
      <c r="V6" s="6">
        <v>10</v>
      </c>
      <c r="W6" t="s">
        <v>54</v>
      </c>
      <c r="X6" s="6">
        <v>35</v>
      </c>
      <c r="Y6" s="6">
        <v>12</v>
      </c>
      <c r="Z6" s="6">
        <v>15</v>
      </c>
      <c r="AA6" s="6">
        <v>20</v>
      </c>
      <c r="AB6" t="s">
        <v>55</v>
      </c>
      <c r="AC6" s="6">
        <v>35</v>
      </c>
      <c r="AD6" s="6">
        <v>12</v>
      </c>
      <c r="AE6" s="6">
        <v>15</v>
      </c>
      <c r="AF6" s="6">
        <v>20</v>
      </c>
      <c r="AG6" t="s">
        <v>56</v>
      </c>
      <c r="AH6" s="6">
        <v>58</v>
      </c>
      <c r="AI6" s="6">
        <v>15</v>
      </c>
      <c r="AJ6" s="6">
        <v>22</v>
      </c>
      <c r="AK6" s="6">
        <v>10</v>
      </c>
      <c r="AL6" t="s">
        <v>57</v>
      </c>
      <c r="AM6" s="6">
        <v>35</v>
      </c>
      <c r="AN6" s="6">
        <v>12</v>
      </c>
      <c r="AO6" s="6">
        <v>15</v>
      </c>
      <c r="AP6" s="6">
        <v>20</v>
      </c>
      <c r="AQ6" s="6">
        <v>750</v>
      </c>
      <c r="AR6" s="6">
        <f t="shared" si="1"/>
        <v>513</v>
      </c>
      <c r="AS6" s="10">
        <f t="shared" si="2"/>
        <v>68.400000000000006</v>
      </c>
      <c r="AT6" t="s">
        <v>58</v>
      </c>
    </row>
    <row r="7" spans="1:47" ht="18.75" customHeight="1" x14ac:dyDescent="0.3">
      <c r="A7" s="6">
        <v>6</v>
      </c>
      <c r="B7" s="6">
        <v>112238</v>
      </c>
      <c r="C7" t="s">
        <v>75</v>
      </c>
      <c r="D7" t="s">
        <v>76</v>
      </c>
      <c r="E7" t="s">
        <v>77</v>
      </c>
      <c r="F7" t="s">
        <v>78</v>
      </c>
      <c r="G7" s="7">
        <v>38843</v>
      </c>
      <c r="H7" t="str">
        <f t="shared" si="0"/>
        <v>ABC-112238</v>
      </c>
      <c r="I7" t="s">
        <v>50</v>
      </c>
      <c r="J7" s="8">
        <v>43952</v>
      </c>
      <c r="K7" s="9" t="s">
        <v>51</v>
      </c>
      <c r="L7" s="6">
        <v>1</v>
      </c>
      <c r="M7" t="s">
        <v>52</v>
      </c>
      <c r="N7" s="6">
        <v>68</v>
      </c>
      <c r="O7" s="6">
        <v>17</v>
      </c>
      <c r="P7" s="6">
        <v>22</v>
      </c>
      <c r="Q7" s="6">
        <v>24</v>
      </c>
      <c r="R7" t="s">
        <v>53</v>
      </c>
      <c r="S7" s="6">
        <v>42</v>
      </c>
      <c r="T7" s="6">
        <v>14</v>
      </c>
      <c r="U7" s="6">
        <v>22</v>
      </c>
      <c r="V7" s="6">
        <v>22</v>
      </c>
      <c r="W7" t="s">
        <v>54</v>
      </c>
      <c r="X7" s="6">
        <v>52</v>
      </c>
      <c r="Y7" s="6">
        <v>15</v>
      </c>
      <c r="Z7" s="6">
        <v>20</v>
      </c>
      <c r="AA7" s="6">
        <v>15</v>
      </c>
      <c r="AB7" t="s">
        <v>55</v>
      </c>
      <c r="AC7" s="6">
        <v>52</v>
      </c>
      <c r="AD7" s="6">
        <v>15</v>
      </c>
      <c r="AE7" s="6">
        <v>20</v>
      </c>
      <c r="AF7" s="6">
        <v>15</v>
      </c>
      <c r="AG7" t="s">
        <v>56</v>
      </c>
      <c r="AH7" s="6">
        <v>73</v>
      </c>
      <c r="AI7" s="6">
        <v>18</v>
      </c>
      <c r="AJ7" s="6">
        <v>10</v>
      </c>
      <c r="AK7" s="6">
        <v>23</v>
      </c>
      <c r="AL7" t="s">
        <v>57</v>
      </c>
      <c r="AM7" s="6">
        <v>58</v>
      </c>
      <c r="AN7" s="6">
        <v>15</v>
      </c>
      <c r="AO7" s="6">
        <v>22</v>
      </c>
      <c r="AP7" s="6">
        <v>10</v>
      </c>
      <c r="AQ7" s="6">
        <v>750</v>
      </c>
      <c r="AR7" s="6">
        <f t="shared" si="1"/>
        <v>664</v>
      </c>
      <c r="AS7" s="10">
        <f t="shared" si="2"/>
        <v>88.533333333333331</v>
      </c>
      <c r="AT7" t="s">
        <v>58</v>
      </c>
    </row>
    <row r="8" spans="1:47" ht="18.75" customHeight="1" x14ac:dyDescent="0.3">
      <c r="A8" s="6">
        <v>7</v>
      </c>
      <c r="B8" s="6">
        <v>112239</v>
      </c>
      <c r="C8" t="s">
        <v>79</v>
      </c>
      <c r="D8" t="s">
        <v>80</v>
      </c>
      <c r="E8" t="s">
        <v>81</v>
      </c>
      <c r="F8" t="s">
        <v>82</v>
      </c>
      <c r="G8" s="7">
        <v>38844</v>
      </c>
      <c r="H8" t="str">
        <f t="shared" si="0"/>
        <v>ABC-112239</v>
      </c>
      <c r="I8" t="s">
        <v>50</v>
      </c>
      <c r="J8" s="8">
        <v>43952</v>
      </c>
      <c r="K8" s="9" t="s">
        <v>51</v>
      </c>
      <c r="L8" s="6">
        <v>1</v>
      </c>
      <c r="M8" t="s">
        <v>52</v>
      </c>
      <c r="N8" s="6">
        <v>39</v>
      </c>
      <c r="O8" s="6">
        <v>8</v>
      </c>
      <c r="P8" s="6">
        <v>22</v>
      </c>
      <c r="Q8" s="6">
        <v>18</v>
      </c>
      <c r="R8" t="s">
        <v>53</v>
      </c>
      <c r="S8" s="6">
        <v>32</v>
      </c>
      <c r="T8" s="6">
        <v>14</v>
      </c>
      <c r="U8" s="6">
        <v>20</v>
      </c>
      <c r="V8" s="6">
        <v>22</v>
      </c>
      <c r="W8" t="s">
        <v>54</v>
      </c>
      <c r="X8" s="6">
        <v>73</v>
      </c>
      <c r="Y8" s="6">
        <v>18</v>
      </c>
      <c r="Z8" s="6">
        <v>10</v>
      </c>
      <c r="AA8" s="6">
        <v>23</v>
      </c>
      <c r="AB8" t="s">
        <v>55</v>
      </c>
      <c r="AC8" s="6">
        <v>58</v>
      </c>
      <c r="AD8" s="6">
        <v>15</v>
      </c>
      <c r="AE8" s="6">
        <v>22</v>
      </c>
      <c r="AF8" s="6">
        <v>10</v>
      </c>
      <c r="AG8" t="s">
        <v>56</v>
      </c>
      <c r="AH8" s="6">
        <v>32</v>
      </c>
      <c r="AI8" s="6">
        <v>14</v>
      </c>
      <c r="AJ8" s="6">
        <v>20</v>
      </c>
      <c r="AK8" s="6">
        <v>22</v>
      </c>
      <c r="AL8" t="s">
        <v>57</v>
      </c>
      <c r="AM8" s="6">
        <v>73</v>
      </c>
      <c r="AN8" s="6">
        <v>18</v>
      </c>
      <c r="AO8" s="6">
        <v>10</v>
      </c>
      <c r="AP8" s="6">
        <v>23</v>
      </c>
      <c r="AQ8" s="6">
        <v>750</v>
      </c>
      <c r="AR8" s="6">
        <f t="shared" si="1"/>
        <v>616</v>
      </c>
      <c r="AS8" s="10">
        <f t="shared" si="2"/>
        <v>82.13333333333334</v>
      </c>
      <c r="AT8" t="s">
        <v>58</v>
      </c>
    </row>
    <row r="9" spans="1:47" ht="18.75" customHeight="1" x14ac:dyDescent="0.3">
      <c r="A9" s="6">
        <v>8</v>
      </c>
      <c r="B9" s="6">
        <v>112240</v>
      </c>
      <c r="C9" t="s">
        <v>83</v>
      </c>
      <c r="D9" t="s">
        <v>84</v>
      </c>
      <c r="E9" t="s">
        <v>85</v>
      </c>
      <c r="F9" t="s">
        <v>86</v>
      </c>
      <c r="G9" s="7">
        <v>38845</v>
      </c>
      <c r="H9" t="str">
        <f t="shared" si="0"/>
        <v>ABC-112240</v>
      </c>
      <c r="I9" t="s">
        <v>50</v>
      </c>
      <c r="J9" s="8">
        <v>43952</v>
      </c>
      <c r="K9" s="9" t="s">
        <v>51</v>
      </c>
      <c r="L9" s="6">
        <v>1</v>
      </c>
      <c r="M9" t="s">
        <v>52</v>
      </c>
      <c r="N9" s="6">
        <v>52</v>
      </c>
      <c r="O9" s="6">
        <v>15</v>
      </c>
      <c r="P9" s="6">
        <v>20</v>
      </c>
      <c r="Q9" s="6">
        <v>15</v>
      </c>
      <c r="R9" t="s">
        <v>53</v>
      </c>
      <c r="S9" s="6">
        <v>35</v>
      </c>
      <c r="T9" s="6">
        <v>12</v>
      </c>
      <c r="U9" s="6">
        <v>15</v>
      </c>
      <c r="V9" s="6">
        <v>20</v>
      </c>
      <c r="W9" t="s">
        <v>54</v>
      </c>
      <c r="X9" s="6">
        <v>32</v>
      </c>
      <c r="Y9" s="6">
        <v>14</v>
      </c>
      <c r="Z9" s="6">
        <v>20</v>
      </c>
      <c r="AA9" s="6">
        <v>22</v>
      </c>
      <c r="AB9" t="s">
        <v>55</v>
      </c>
      <c r="AC9" s="6">
        <v>42</v>
      </c>
      <c r="AD9" s="6">
        <v>14</v>
      </c>
      <c r="AE9" s="6">
        <v>22</v>
      </c>
      <c r="AF9" s="6">
        <v>22</v>
      </c>
      <c r="AG9" t="s">
        <v>56</v>
      </c>
      <c r="AH9" s="6">
        <v>35</v>
      </c>
      <c r="AI9" s="6">
        <v>12</v>
      </c>
      <c r="AJ9" s="6">
        <v>15</v>
      </c>
      <c r="AK9" s="6">
        <v>20</v>
      </c>
      <c r="AL9" t="s">
        <v>57</v>
      </c>
      <c r="AM9" s="6">
        <v>32</v>
      </c>
      <c r="AN9" s="6">
        <v>14</v>
      </c>
      <c r="AO9" s="6">
        <v>20</v>
      </c>
      <c r="AP9" s="6">
        <v>22</v>
      </c>
      <c r="AQ9" s="6">
        <v>750</v>
      </c>
      <c r="AR9" s="6">
        <f t="shared" si="1"/>
        <v>542</v>
      </c>
      <c r="AS9" s="10">
        <f t="shared" si="2"/>
        <v>72.266666666666666</v>
      </c>
      <c r="AT9" t="s">
        <v>58</v>
      </c>
    </row>
    <row r="10" spans="1:47" ht="18.75" customHeight="1" x14ac:dyDescent="0.3">
      <c r="A10" s="6">
        <v>9</v>
      </c>
      <c r="B10" s="6">
        <v>112241</v>
      </c>
      <c r="C10" t="s">
        <v>87</v>
      </c>
      <c r="D10" t="s">
        <v>88</v>
      </c>
      <c r="E10" t="s">
        <v>89</v>
      </c>
      <c r="F10" t="s">
        <v>90</v>
      </c>
      <c r="G10" s="7">
        <v>38846</v>
      </c>
      <c r="H10" t="str">
        <f t="shared" si="0"/>
        <v>ABC-112241</v>
      </c>
      <c r="I10" t="s">
        <v>50</v>
      </c>
      <c r="J10" s="8">
        <v>43952</v>
      </c>
      <c r="K10" s="9" t="s">
        <v>51</v>
      </c>
      <c r="L10" s="6">
        <v>1</v>
      </c>
      <c r="M10" t="s">
        <v>52</v>
      </c>
      <c r="N10" s="6">
        <v>73</v>
      </c>
      <c r="O10" s="6">
        <v>18</v>
      </c>
      <c r="P10" s="6">
        <v>10</v>
      </c>
      <c r="Q10" s="6">
        <v>23</v>
      </c>
      <c r="R10" t="s">
        <v>53</v>
      </c>
      <c r="S10" s="6">
        <v>52</v>
      </c>
      <c r="T10" s="6">
        <v>15</v>
      </c>
      <c r="U10" s="6">
        <v>20</v>
      </c>
      <c r="V10" s="6">
        <v>15</v>
      </c>
      <c r="W10" t="s">
        <v>54</v>
      </c>
      <c r="X10" s="6">
        <v>35</v>
      </c>
      <c r="Y10" s="6">
        <v>12</v>
      </c>
      <c r="Z10" s="6">
        <v>15</v>
      </c>
      <c r="AA10" s="6">
        <v>20</v>
      </c>
      <c r="AB10" t="s">
        <v>55</v>
      </c>
      <c r="AC10" s="6">
        <v>52</v>
      </c>
      <c r="AD10" s="6">
        <v>15</v>
      </c>
      <c r="AE10" s="6">
        <v>20</v>
      </c>
      <c r="AF10" s="6">
        <v>15</v>
      </c>
      <c r="AG10" t="s">
        <v>56</v>
      </c>
      <c r="AH10" s="6">
        <v>52</v>
      </c>
      <c r="AI10" s="6">
        <v>15</v>
      </c>
      <c r="AJ10" s="6">
        <v>20</v>
      </c>
      <c r="AK10" s="6">
        <v>15</v>
      </c>
      <c r="AL10" t="s">
        <v>57</v>
      </c>
      <c r="AM10" s="6">
        <v>35</v>
      </c>
      <c r="AN10" s="6">
        <v>12</v>
      </c>
      <c r="AO10" s="6">
        <v>15</v>
      </c>
      <c r="AP10" s="6">
        <v>20</v>
      </c>
      <c r="AQ10" s="6">
        <v>750</v>
      </c>
      <c r="AR10" s="6">
        <f t="shared" si="1"/>
        <v>594</v>
      </c>
      <c r="AS10" s="10">
        <f t="shared" si="2"/>
        <v>79.2</v>
      </c>
      <c r="AT10" t="s">
        <v>58</v>
      </c>
    </row>
    <row r="11" spans="1:47" ht="18.75" customHeight="1" x14ac:dyDescent="0.3">
      <c r="A11" s="6">
        <v>10</v>
      </c>
      <c r="B11" s="6">
        <v>112242</v>
      </c>
      <c r="C11" t="s">
        <v>91</v>
      </c>
      <c r="D11" t="s">
        <v>92</v>
      </c>
      <c r="E11" t="s">
        <v>93</v>
      </c>
      <c r="F11" t="s">
        <v>94</v>
      </c>
      <c r="G11" s="7">
        <v>38847</v>
      </c>
      <c r="H11" t="str">
        <f t="shared" si="0"/>
        <v>ABC-112242</v>
      </c>
      <c r="I11" t="s">
        <v>50</v>
      </c>
      <c r="J11" s="8">
        <v>43952</v>
      </c>
      <c r="K11" s="9" t="s">
        <v>51</v>
      </c>
      <c r="L11" s="6">
        <v>1</v>
      </c>
      <c r="M11" t="s">
        <v>52</v>
      </c>
      <c r="N11" s="6">
        <v>58</v>
      </c>
      <c r="O11" s="6">
        <v>15</v>
      </c>
      <c r="P11" s="6">
        <v>22</v>
      </c>
      <c r="Q11" s="6">
        <v>10</v>
      </c>
      <c r="R11" t="s">
        <v>53</v>
      </c>
      <c r="S11" s="6">
        <v>73</v>
      </c>
      <c r="T11" s="6">
        <v>18</v>
      </c>
      <c r="U11" s="6">
        <v>10</v>
      </c>
      <c r="V11" s="6">
        <v>23</v>
      </c>
      <c r="W11" t="s">
        <v>54</v>
      </c>
      <c r="X11" s="6">
        <v>52</v>
      </c>
      <c r="Y11" s="6">
        <v>15</v>
      </c>
      <c r="Z11" s="6">
        <v>20</v>
      </c>
      <c r="AA11" s="6">
        <v>15</v>
      </c>
      <c r="AB11" t="s">
        <v>55</v>
      </c>
      <c r="AC11" s="6">
        <v>58</v>
      </c>
      <c r="AD11" s="6">
        <v>15</v>
      </c>
      <c r="AE11" s="6">
        <v>22</v>
      </c>
      <c r="AF11" s="6">
        <v>10</v>
      </c>
      <c r="AG11" t="s">
        <v>56</v>
      </c>
      <c r="AH11" s="6">
        <v>58</v>
      </c>
      <c r="AI11" s="6">
        <v>15</v>
      </c>
      <c r="AJ11" s="6">
        <v>22</v>
      </c>
      <c r="AK11" s="6">
        <v>10</v>
      </c>
      <c r="AL11" t="s">
        <v>57</v>
      </c>
      <c r="AM11" s="6">
        <v>58</v>
      </c>
      <c r="AN11" s="6">
        <v>15</v>
      </c>
      <c r="AO11" s="6">
        <v>22</v>
      </c>
      <c r="AP11" s="6">
        <v>10</v>
      </c>
      <c r="AQ11" s="6">
        <v>750</v>
      </c>
      <c r="AR11" s="6">
        <f t="shared" si="1"/>
        <v>646</v>
      </c>
      <c r="AS11" s="10">
        <f t="shared" si="2"/>
        <v>86.133333333333326</v>
      </c>
      <c r="AT11" t="s">
        <v>58</v>
      </c>
    </row>
    <row r="12" spans="1:47" ht="18.75" customHeight="1" x14ac:dyDescent="0.3">
      <c r="A12" s="6">
        <v>11</v>
      </c>
      <c r="B12" s="6">
        <v>112243</v>
      </c>
      <c r="C12" t="s">
        <v>95</v>
      </c>
      <c r="D12" t="s">
        <v>96</v>
      </c>
      <c r="E12" t="s">
        <v>97</v>
      </c>
      <c r="F12" t="s">
        <v>98</v>
      </c>
      <c r="G12" s="7">
        <v>38848</v>
      </c>
      <c r="H12" t="str">
        <f t="shared" si="0"/>
        <v>ABC-112243</v>
      </c>
      <c r="I12" t="s">
        <v>50</v>
      </c>
      <c r="J12" s="8">
        <v>43952</v>
      </c>
      <c r="K12" s="9" t="s">
        <v>51</v>
      </c>
      <c r="L12" s="6">
        <v>1</v>
      </c>
      <c r="M12" t="s">
        <v>52</v>
      </c>
      <c r="N12" s="6">
        <v>42</v>
      </c>
      <c r="O12" s="6">
        <v>14</v>
      </c>
      <c r="P12" s="6">
        <v>22</v>
      </c>
      <c r="Q12" s="6">
        <v>22</v>
      </c>
      <c r="R12" t="s">
        <v>53</v>
      </c>
      <c r="S12" s="6">
        <v>58</v>
      </c>
      <c r="T12" s="6">
        <v>15</v>
      </c>
      <c r="U12" s="6">
        <v>22</v>
      </c>
      <c r="V12" s="6">
        <v>10</v>
      </c>
      <c r="W12" t="s">
        <v>54</v>
      </c>
      <c r="X12" s="6">
        <v>58</v>
      </c>
      <c r="Y12" s="6">
        <v>15</v>
      </c>
      <c r="Z12" s="6">
        <v>22</v>
      </c>
      <c r="AA12" s="6">
        <v>10</v>
      </c>
      <c r="AB12" t="s">
        <v>55</v>
      </c>
      <c r="AC12" s="6">
        <v>73</v>
      </c>
      <c r="AD12" s="6">
        <v>18</v>
      </c>
      <c r="AE12" s="6">
        <v>10</v>
      </c>
      <c r="AF12" s="6">
        <v>23</v>
      </c>
      <c r="AG12" t="s">
        <v>56</v>
      </c>
      <c r="AH12" s="6">
        <v>58</v>
      </c>
      <c r="AI12" s="6">
        <v>15</v>
      </c>
      <c r="AJ12" s="6">
        <v>22</v>
      </c>
      <c r="AK12" s="6">
        <v>10</v>
      </c>
      <c r="AL12" t="s">
        <v>57</v>
      </c>
      <c r="AM12" s="6">
        <v>73</v>
      </c>
      <c r="AN12" s="6">
        <v>18</v>
      </c>
      <c r="AO12" s="6">
        <v>10</v>
      </c>
      <c r="AP12" s="6">
        <v>23</v>
      </c>
      <c r="AQ12" s="6">
        <v>750</v>
      </c>
      <c r="AR12" s="6">
        <f t="shared" si="1"/>
        <v>663</v>
      </c>
      <c r="AS12" s="10">
        <f t="shared" si="2"/>
        <v>88.4</v>
      </c>
      <c r="AT12" t="s">
        <v>58</v>
      </c>
    </row>
    <row r="13" spans="1:47" ht="18.75" customHeight="1" x14ac:dyDescent="0.3">
      <c r="A13" s="6">
        <v>12</v>
      </c>
      <c r="B13" s="6">
        <v>112244</v>
      </c>
      <c r="C13" t="s">
        <v>99</v>
      </c>
      <c r="D13" t="s">
        <v>100</v>
      </c>
      <c r="E13" t="s">
        <v>101</v>
      </c>
      <c r="F13" t="s">
        <v>102</v>
      </c>
      <c r="G13" s="7">
        <v>38849</v>
      </c>
      <c r="H13" t="str">
        <f t="shared" si="0"/>
        <v>ABC-112244</v>
      </c>
      <c r="I13" t="s">
        <v>50</v>
      </c>
      <c r="J13" s="8">
        <v>43952</v>
      </c>
      <c r="K13" s="9" t="s">
        <v>51</v>
      </c>
      <c r="L13" s="6">
        <v>1</v>
      </c>
      <c r="M13" t="s">
        <v>52</v>
      </c>
      <c r="N13" s="6">
        <v>32</v>
      </c>
      <c r="O13" s="6">
        <v>14</v>
      </c>
      <c r="P13" s="6">
        <v>20</v>
      </c>
      <c r="Q13" s="6">
        <v>22</v>
      </c>
      <c r="R13" t="s">
        <v>53</v>
      </c>
      <c r="S13" s="6">
        <v>42</v>
      </c>
      <c r="T13" s="6">
        <v>14</v>
      </c>
      <c r="U13" s="6">
        <v>22</v>
      </c>
      <c r="V13" s="6">
        <v>22</v>
      </c>
      <c r="W13" t="s">
        <v>54</v>
      </c>
      <c r="X13" s="6">
        <v>42</v>
      </c>
      <c r="Y13" s="6">
        <v>14</v>
      </c>
      <c r="Z13" s="6">
        <v>22</v>
      </c>
      <c r="AA13" s="6">
        <v>22</v>
      </c>
      <c r="AB13" t="s">
        <v>55</v>
      </c>
      <c r="AC13" s="6">
        <v>32</v>
      </c>
      <c r="AD13" s="6">
        <v>14</v>
      </c>
      <c r="AE13" s="6">
        <v>20</v>
      </c>
      <c r="AF13" s="6">
        <v>22</v>
      </c>
      <c r="AG13" t="s">
        <v>56</v>
      </c>
      <c r="AH13" s="6">
        <v>73</v>
      </c>
      <c r="AI13" s="6">
        <v>18</v>
      </c>
      <c r="AJ13" s="6">
        <v>10</v>
      </c>
      <c r="AK13" s="6">
        <v>23</v>
      </c>
      <c r="AL13" t="s">
        <v>57</v>
      </c>
      <c r="AM13" s="6">
        <v>32</v>
      </c>
      <c r="AN13" s="6">
        <v>14</v>
      </c>
      <c r="AO13" s="6">
        <v>20</v>
      </c>
      <c r="AP13" s="6">
        <v>22</v>
      </c>
      <c r="AQ13" s="6">
        <v>750</v>
      </c>
      <c r="AR13" s="6">
        <f t="shared" si="1"/>
        <v>588</v>
      </c>
      <c r="AS13" s="10">
        <f t="shared" si="2"/>
        <v>78.400000000000006</v>
      </c>
      <c r="AT13" t="s">
        <v>58</v>
      </c>
    </row>
    <row r="14" spans="1:47" ht="18.75" customHeight="1" x14ac:dyDescent="0.3">
      <c r="A14" s="6">
        <v>13</v>
      </c>
      <c r="B14" s="6">
        <v>112245</v>
      </c>
      <c r="C14" t="s">
        <v>103</v>
      </c>
      <c r="D14" t="s">
        <v>104</v>
      </c>
      <c r="E14" t="s">
        <v>105</v>
      </c>
      <c r="F14" t="s">
        <v>106</v>
      </c>
      <c r="G14" s="7">
        <v>38850</v>
      </c>
      <c r="H14" t="str">
        <f t="shared" si="0"/>
        <v>ABC-112245</v>
      </c>
      <c r="I14" t="s">
        <v>50</v>
      </c>
      <c r="J14" s="8">
        <v>43952</v>
      </c>
      <c r="K14" s="9" t="s">
        <v>51</v>
      </c>
      <c r="L14" s="6">
        <v>1</v>
      </c>
      <c r="M14" t="s">
        <v>52</v>
      </c>
      <c r="N14" s="6">
        <v>35</v>
      </c>
      <c r="O14" s="6">
        <v>12</v>
      </c>
      <c r="P14" s="6">
        <v>15</v>
      </c>
      <c r="Q14" s="6">
        <v>20</v>
      </c>
      <c r="R14" t="s">
        <v>53</v>
      </c>
      <c r="S14" s="6">
        <v>73</v>
      </c>
      <c r="T14" s="6">
        <v>18</v>
      </c>
      <c r="U14" s="6">
        <v>10</v>
      </c>
      <c r="V14" s="6">
        <v>23</v>
      </c>
      <c r="W14" t="s">
        <v>54</v>
      </c>
      <c r="X14" s="6">
        <v>32</v>
      </c>
      <c r="Y14" s="6">
        <v>14</v>
      </c>
      <c r="Z14" s="6">
        <v>20</v>
      </c>
      <c r="AA14" s="6">
        <v>22</v>
      </c>
      <c r="AB14" t="s">
        <v>55</v>
      </c>
      <c r="AC14" s="6">
        <v>35</v>
      </c>
      <c r="AD14" s="6">
        <v>12</v>
      </c>
      <c r="AE14" s="6">
        <v>15</v>
      </c>
      <c r="AF14" s="6">
        <v>20</v>
      </c>
      <c r="AG14" t="s">
        <v>56</v>
      </c>
      <c r="AH14" s="6">
        <v>32</v>
      </c>
      <c r="AI14" s="6">
        <v>14</v>
      </c>
      <c r="AJ14" s="6">
        <v>20</v>
      </c>
      <c r="AK14" s="6">
        <v>22</v>
      </c>
      <c r="AL14" t="s">
        <v>57</v>
      </c>
      <c r="AM14" s="6">
        <v>35</v>
      </c>
      <c r="AN14" s="6">
        <v>12</v>
      </c>
      <c r="AO14" s="6">
        <v>15</v>
      </c>
      <c r="AP14" s="6">
        <v>20</v>
      </c>
      <c r="AQ14" s="6">
        <v>750</v>
      </c>
      <c r="AR14" s="6">
        <f t="shared" si="1"/>
        <v>546</v>
      </c>
      <c r="AS14" s="10">
        <f t="shared" si="2"/>
        <v>72.8</v>
      </c>
      <c r="AT14" t="s">
        <v>58</v>
      </c>
    </row>
    <row r="15" spans="1:47" ht="18.75" customHeight="1" x14ac:dyDescent="0.3">
      <c r="A15" s="6">
        <v>14</v>
      </c>
      <c r="B15" s="6">
        <v>112246</v>
      </c>
      <c r="C15" t="s">
        <v>107</v>
      </c>
      <c r="D15" t="s">
        <v>108</v>
      </c>
      <c r="E15" t="s">
        <v>109</v>
      </c>
      <c r="F15" t="s">
        <v>110</v>
      </c>
      <c r="G15" s="7">
        <v>38851</v>
      </c>
      <c r="H15" t="str">
        <f t="shared" si="0"/>
        <v>ABC-112246</v>
      </c>
      <c r="I15" t="s">
        <v>50</v>
      </c>
      <c r="J15" s="8">
        <v>43952</v>
      </c>
      <c r="K15" s="9" t="s">
        <v>51</v>
      </c>
      <c r="L15" s="6">
        <v>1</v>
      </c>
      <c r="M15" t="s">
        <v>52</v>
      </c>
      <c r="N15" s="6">
        <v>45</v>
      </c>
      <c r="O15" s="6">
        <v>11</v>
      </c>
      <c r="P15" s="6">
        <v>24</v>
      </c>
      <c r="Q15" s="6">
        <v>17</v>
      </c>
      <c r="R15" t="s">
        <v>53</v>
      </c>
      <c r="S15" s="6">
        <v>68</v>
      </c>
      <c r="T15" s="6">
        <v>17</v>
      </c>
      <c r="U15" s="6">
        <v>22</v>
      </c>
      <c r="V15" s="6">
        <v>24</v>
      </c>
      <c r="W15" t="s">
        <v>54</v>
      </c>
      <c r="X15" s="6">
        <v>73</v>
      </c>
      <c r="Y15" s="6">
        <v>18</v>
      </c>
      <c r="Z15" s="6">
        <v>10</v>
      </c>
      <c r="AA15" s="6">
        <v>23</v>
      </c>
      <c r="AB15" t="s">
        <v>55</v>
      </c>
      <c r="AC15" s="6">
        <v>35</v>
      </c>
      <c r="AD15" s="6">
        <v>12</v>
      </c>
      <c r="AE15" s="6">
        <v>15</v>
      </c>
      <c r="AF15" s="6">
        <v>20</v>
      </c>
      <c r="AG15" t="s">
        <v>56</v>
      </c>
      <c r="AH15" s="6">
        <v>52</v>
      </c>
      <c r="AI15" s="6">
        <v>15</v>
      </c>
      <c r="AJ15" s="6">
        <v>20</v>
      </c>
      <c r="AK15" s="6">
        <v>15</v>
      </c>
      <c r="AL15" t="s">
        <v>57</v>
      </c>
      <c r="AM15" s="6">
        <v>35</v>
      </c>
      <c r="AN15" s="6">
        <v>12</v>
      </c>
      <c r="AO15" s="6">
        <v>15</v>
      </c>
      <c r="AP15" s="6">
        <v>20</v>
      </c>
      <c r="AQ15" s="6">
        <v>750</v>
      </c>
      <c r="AR15" s="6">
        <f t="shared" si="1"/>
        <v>618</v>
      </c>
      <c r="AS15" s="10">
        <f t="shared" si="2"/>
        <v>82.399999999999991</v>
      </c>
      <c r="AT15" t="s">
        <v>58</v>
      </c>
    </row>
    <row r="16" spans="1:47" ht="18.75" customHeight="1" x14ac:dyDescent="0.3">
      <c r="A16" s="6">
        <v>15</v>
      </c>
      <c r="B16" s="6">
        <v>112247</v>
      </c>
      <c r="C16" t="s">
        <v>111</v>
      </c>
      <c r="D16" t="s">
        <v>112</v>
      </c>
      <c r="E16" t="s">
        <v>113</v>
      </c>
      <c r="F16" t="s">
        <v>114</v>
      </c>
      <c r="G16" s="7">
        <v>38852</v>
      </c>
      <c r="H16" t="str">
        <f t="shared" si="0"/>
        <v>ABC-112247</v>
      </c>
      <c r="I16" t="s">
        <v>50</v>
      </c>
      <c r="J16" s="8">
        <v>43952</v>
      </c>
      <c r="K16" s="9" t="s">
        <v>51</v>
      </c>
      <c r="L16" s="6">
        <v>1</v>
      </c>
      <c r="M16" t="s">
        <v>52</v>
      </c>
      <c r="N16" s="6">
        <v>14</v>
      </c>
      <c r="O16" s="6">
        <v>11</v>
      </c>
      <c r="P16" s="6">
        <v>18</v>
      </c>
      <c r="Q16" s="6">
        <v>20</v>
      </c>
      <c r="R16" t="s">
        <v>53</v>
      </c>
      <c r="S16" s="6">
        <v>39</v>
      </c>
      <c r="T16" s="6">
        <v>8</v>
      </c>
      <c r="U16" s="6">
        <v>22</v>
      </c>
      <c r="V16" s="6">
        <v>18</v>
      </c>
      <c r="W16" t="s">
        <v>54</v>
      </c>
      <c r="X16" s="6">
        <v>58</v>
      </c>
      <c r="Y16" s="6">
        <v>15</v>
      </c>
      <c r="Z16" s="6">
        <v>22</v>
      </c>
      <c r="AA16" s="6">
        <v>10</v>
      </c>
      <c r="AB16" t="s">
        <v>55</v>
      </c>
      <c r="AC16" s="6">
        <v>52</v>
      </c>
      <c r="AD16" s="6">
        <v>15</v>
      </c>
      <c r="AE16" s="6">
        <v>20</v>
      </c>
      <c r="AF16" s="6">
        <v>15</v>
      </c>
      <c r="AG16" t="s">
        <v>56</v>
      </c>
      <c r="AH16" s="6">
        <v>58</v>
      </c>
      <c r="AI16" s="6">
        <v>15</v>
      </c>
      <c r="AJ16" s="6">
        <v>22</v>
      </c>
      <c r="AK16" s="6">
        <v>10</v>
      </c>
      <c r="AL16" t="s">
        <v>57</v>
      </c>
      <c r="AM16" s="6">
        <v>58</v>
      </c>
      <c r="AN16" s="6">
        <v>15</v>
      </c>
      <c r="AO16" s="6">
        <v>22</v>
      </c>
      <c r="AP16" s="6">
        <v>10</v>
      </c>
      <c r="AQ16" s="6">
        <v>750</v>
      </c>
      <c r="AR16" s="6">
        <f t="shared" si="1"/>
        <v>567</v>
      </c>
      <c r="AS16" s="10">
        <f t="shared" si="2"/>
        <v>75.599999999999994</v>
      </c>
      <c r="AT16" t="s">
        <v>58</v>
      </c>
    </row>
    <row r="17" spans="1:46" ht="18.75" customHeight="1" x14ac:dyDescent="0.3">
      <c r="A17" s="6">
        <v>16</v>
      </c>
      <c r="B17" s="6">
        <v>112248</v>
      </c>
      <c r="C17" t="s">
        <v>115</v>
      </c>
      <c r="D17" t="s">
        <v>116</v>
      </c>
      <c r="E17" t="s">
        <v>117</v>
      </c>
      <c r="F17" t="s">
        <v>118</v>
      </c>
      <c r="G17" s="7">
        <v>38853</v>
      </c>
      <c r="H17" t="str">
        <f t="shared" si="0"/>
        <v>ABC-112248</v>
      </c>
      <c r="I17" t="s">
        <v>50</v>
      </c>
      <c r="J17" s="8">
        <v>43952</v>
      </c>
      <c r="K17" s="9" t="s">
        <v>51</v>
      </c>
      <c r="L17" s="6">
        <v>1</v>
      </c>
      <c r="M17" t="s">
        <v>52</v>
      </c>
      <c r="N17" s="6">
        <v>32</v>
      </c>
      <c r="O17" s="6">
        <v>20</v>
      </c>
      <c r="P17" s="6">
        <v>15</v>
      </c>
      <c r="Q17" s="6">
        <v>23</v>
      </c>
      <c r="R17" t="s">
        <v>53</v>
      </c>
      <c r="S17" s="6">
        <v>52</v>
      </c>
      <c r="T17" s="6">
        <v>15</v>
      </c>
      <c r="U17" s="6">
        <v>20</v>
      </c>
      <c r="V17" s="6">
        <v>15</v>
      </c>
      <c r="W17" t="s">
        <v>54</v>
      </c>
      <c r="X17" s="6">
        <v>42</v>
      </c>
      <c r="Y17" s="6">
        <v>14</v>
      </c>
      <c r="Z17" s="6">
        <v>22</v>
      </c>
      <c r="AA17" s="6">
        <v>22</v>
      </c>
      <c r="AB17" t="s">
        <v>55</v>
      </c>
      <c r="AC17" s="6">
        <v>73</v>
      </c>
      <c r="AD17" s="6">
        <v>18</v>
      </c>
      <c r="AE17" s="6">
        <v>10</v>
      </c>
      <c r="AF17" s="6">
        <v>23</v>
      </c>
      <c r="AG17" t="s">
        <v>56</v>
      </c>
      <c r="AH17" s="6">
        <v>42</v>
      </c>
      <c r="AI17" s="6">
        <v>14</v>
      </c>
      <c r="AJ17" s="6">
        <v>22</v>
      </c>
      <c r="AK17" s="6">
        <v>22</v>
      </c>
      <c r="AL17" t="s">
        <v>57</v>
      </c>
      <c r="AM17" s="6">
        <v>73</v>
      </c>
      <c r="AN17" s="6">
        <v>18</v>
      </c>
      <c r="AO17" s="6">
        <v>10</v>
      </c>
      <c r="AP17" s="6">
        <v>23</v>
      </c>
      <c r="AQ17" s="6">
        <v>750</v>
      </c>
      <c r="AR17" s="6">
        <f t="shared" si="1"/>
        <v>640</v>
      </c>
      <c r="AS17" s="10">
        <f t="shared" si="2"/>
        <v>85.333333333333343</v>
      </c>
      <c r="AT17" t="s">
        <v>58</v>
      </c>
    </row>
    <row r="18" spans="1:46" ht="18.75" customHeight="1" x14ac:dyDescent="0.3">
      <c r="A18" s="6">
        <v>17</v>
      </c>
      <c r="B18" s="6">
        <v>112249</v>
      </c>
      <c r="C18" t="s">
        <v>119</v>
      </c>
      <c r="D18" t="s">
        <v>120</v>
      </c>
      <c r="E18" t="s">
        <v>121</v>
      </c>
      <c r="F18" t="s">
        <v>122</v>
      </c>
      <c r="G18" s="7">
        <v>38854</v>
      </c>
      <c r="H18" t="str">
        <f t="shared" si="0"/>
        <v>ABC-112249</v>
      </c>
      <c r="I18" t="s">
        <v>50</v>
      </c>
      <c r="J18" s="8">
        <v>43952</v>
      </c>
      <c r="K18" s="9" t="s">
        <v>51</v>
      </c>
      <c r="L18" s="6">
        <v>1</v>
      </c>
      <c r="M18" t="s">
        <v>52</v>
      </c>
      <c r="N18" s="6">
        <v>54</v>
      </c>
      <c r="O18" s="6">
        <v>16</v>
      </c>
      <c r="P18" s="6">
        <v>23</v>
      </c>
      <c r="Q18" s="6">
        <v>22</v>
      </c>
      <c r="R18" t="s">
        <v>53</v>
      </c>
      <c r="S18" s="6">
        <v>73</v>
      </c>
      <c r="T18" s="6">
        <v>18</v>
      </c>
      <c r="U18" s="6">
        <v>10</v>
      </c>
      <c r="V18" s="6">
        <v>23</v>
      </c>
      <c r="W18" t="s">
        <v>54</v>
      </c>
      <c r="X18" s="6">
        <v>32</v>
      </c>
      <c r="Y18" s="6">
        <v>14</v>
      </c>
      <c r="Z18" s="6">
        <v>20</v>
      </c>
      <c r="AA18" s="6">
        <v>22</v>
      </c>
      <c r="AB18" t="s">
        <v>55</v>
      </c>
      <c r="AC18" s="6">
        <v>32</v>
      </c>
      <c r="AD18" s="6">
        <v>14</v>
      </c>
      <c r="AE18" s="6">
        <v>20</v>
      </c>
      <c r="AF18" s="6">
        <v>22</v>
      </c>
      <c r="AG18" t="s">
        <v>56</v>
      </c>
      <c r="AH18" s="6">
        <v>52</v>
      </c>
      <c r="AI18" s="6">
        <v>15</v>
      </c>
      <c r="AJ18" s="6">
        <v>20</v>
      </c>
      <c r="AK18" s="6">
        <v>15</v>
      </c>
      <c r="AL18" t="s">
        <v>57</v>
      </c>
      <c r="AM18" s="6">
        <v>32</v>
      </c>
      <c r="AN18" s="6">
        <v>14</v>
      </c>
      <c r="AO18" s="6">
        <v>20</v>
      </c>
      <c r="AP18" s="6">
        <v>22</v>
      </c>
      <c r="AQ18" s="6">
        <v>750</v>
      </c>
      <c r="AR18" s="6">
        <f t="shared" si="1"/>
        <v>605</v>
      </c>
      <c r="AS18" s="10">
        <f t="shared" si="2"/>
        <v>80.666666666666657</v>
      </c>
      <c r="AT18" t="s">
        <v>58</v>
      </c>
    </row>
    <row r="19" spans="1:46" ht="18.75" customHeight="1" x14ac:dyDescent="0.3">
      <c r="A19" s="6">
        <v>18</v>
      </c>
      <c r="B19" s="6">
        <v>112250</v>
      </c>
      <c r="C19" t="s">
        <v>123</v>
      </c>
      <c r="D19" t="s">
        <v>124</v>
      </c>
      <c r="E19" t="s">
        <v>125</v>
      </c>
      <c r="F19" t="s">
        <v>126</v>
      </c>
      <c r="G19" s="7">
        <v>38855</v>
      </c>
      <c r="H19" t="str">
        <f t="shared" si="0"/>
        <v>ABC-112250</v>
      </c>
      <c r="I19" t="s">
        <v>50</v>
      </c>
      <c r="J19" s="8">
        <v>43952</v>
      </c>
      <c r="K19" s="9" t="s">
        <v>51</v>
      </c>
      <c r="L19" s="6">
        <v>1</v>
      </c>
      <c r="M19" t="s">
        <v>52</v>
      </c>
      <c r="N19" s="6">
        <v>16</v>
      </c>
      <c r="O19" s="6">
        <v>12</v>
      </c>
      <c r="P19" s="6">
        <v>10</v>
      </c>
      <c r="Q19" s="6">
        <v>19</v>
      </c>
      <c r="R19" t="s">
        <v>53</v>
      </c>
      <c r="S19" s="6">
        <v>58</v>
      </c>
      <c r="T19" s="6">
        <v>15</v>
      </c>
      <c r="U19" s="6">
        <v>22</v>
      </c>
      <c r="V19" s="6">
        <v>10</v>
      </c>
      <c r="W19" t="s">
        <v>54</v>
      </c>
      <c r="X19" s="6">
        <v>35</v>
      </c>
      <c r="Y19" s="6">
        <v>12</v>
      </c>
      <c r="Z19" s="6">
        <v>15</v>
      </c>
      <c r="AA19" s="6">
        <v>20</v>
      </c>
      <c r="AB19" t="s">
        <v>55</v>
      </c>
      <c r="AC19" s="6">
        <v>35</v>
      </c>
      <c r="AD19" s="6">
        <v>12</v>
      </c>
      <c r="AE19" s="6">
        <v>15</v>
      </c>
      <c r="AF19" s="6">
        <v>20</v>
      </c>
      <c r="AG19" t="s">
        <v>56</v>
      </c>
      <c r="AH19" s="6">
        <v>58</v>
      </c>
      <c r="AI19" s="6">
        <v>15</v>
      </c>
      <c r="AJ19" s="6">
        <v>22</v>
      </c>
      <c r="AK19" s="6">
        <v>10</v>
      </c>
      <c r="AL19" t="s">
        <v>57</v>
      </c>
      <c r="AM19" s="6">
        <v>35</v>
      </c>
      <c r="AN19" s="6">
        <v>12</v>
      </c>
      <c r="AO19" s="6">
        <v>15</v>
      </c>
      <c r="AP19" s="6">
        <v>20</v>
      </c>
      <c r="AQ19" s="6">
        <v>750</v>
      </c>
      <c r="AR19" s="6">
        <f t="shared" si="1"/>
        <v>513</v>
      </c>
      <c r="AS19" s="10">
        <f t="shared" si="2"/>
        <v>68.400000000000006</v>
      </c>
      <c r="AT19" t="s">
        <v>58</v>
      </c>
    </row>
    <row r="20" spans="1:46" ht="18.75" customHeight="1" x14ac:dyDescent="0.3">
      <c r="A20" s="6">
        <v>19</v>
      </c>
      <c r="B20" s="6">
        <v>112251</v>
      </c>
      <c r="C20" t="s">
        <v>127</v>
      </c>
      <c r="D20" t="s">
        <v>128</v>
      </c>
      <c r="E20" t="s">
        <v>129</v>
      </c>
      <c r="F20" t="s">
        <v>130</v>
      </c>
      <c r="G20" s="7">
        <v>38856</v>
      </c>
      <c r="H20" t="str">
        <f t="shared" si="0"/>
        <v>ABC-112251</v>
      </c>
      <c r="I20" t="s">
        <v>50</v>
      </c>
      <c r="J20" s="8">
        <v>43952</v>
      </c>
      <c r="K20" s="9" t="s">
        <v>51</v>
      </c>
      <c r="L20" s="6">
        <v>1</v>
      </c>
      <c r="M20" t="s">
        <v>52</v>
      </c>
      <c r="N20" s="6">
        <v>68</v>
      </c>
      <c r="O20" s="6">
        <v>17</v>
      </c>
      <c r="P20" s="6">
        <v>22</v>
      </c>
      <c r="Q20" s="6">
        <v>24</v>
      </c>
      <c r="R20" t="s">
        <v>53</v>
      </c>
      <c r="S20" s="6">
        <v>42</v>
      </c>
      <c r="T20" s="6">
        <v>14</v>
      </c>
      <c r="U20" s="6">
        <v>22</v>
      </c>
      <c r="V20" s="6">
        <v>22</v>
      </c>
      <c r="W20" t="s">
        <v>54</v>
      </c>
      <c r="X20" s="6">
        <v>52</v>
      </c>
      <c r="Y20" s="6">
        <v>15</v>
      </c>
      <c r="Z20" s="6">
        <v>20</v>
      </c>
      <c r="AA20" s="6">
        <v>15</v>
      </c>
      <c r="AB20" t="s">
        <v>55</v>
      </c>
      <c r="AC20" s="6">
        <v>52</v>
      </c>
      <c r="AD20" s="6">
        <v>15</v>
      </c>
      <c r="AE20" s="6">
        <v>20</v>
      </c>
      <c r="AF20" s="6">
        <v>15</v>
      </c>
      <c r="AG20" t="s">
        <v>56</v>
      </c>
      <c r="AH20" s="6">
        <v>73</v>
      </c>
      <c r="AI20" s="6">
        <v>18</v>
      </c>
      <c r="AJ20" s="6">
        <v>10</v>
      </c>
      <c r="AK20" s="6">
        <v>23</v>
      </c>
      <c r="AL20" t="s">
        <v>57</v>
      </c>
      <c r="AM20" s="6">
        <v>58</v>
      </c>
      <c r="AN20" s="6">
        <v>15</v>
      </c>
      <c r="AO20" s="6">
        <v>22</v>
      </c>
      <c r="AP20" s="6">
        <v>10</v>
      </c>
      <c r="AQ20" s="6">
        <v>750</v>
      </c>
      <c r="AR20" s="6">
        <f t="shared" si="1"/>
        <v>664</v>
      </c>
      <c r="AS20" s="10">
        <f t="shared" si="2"/>
        <v>88.533333333333331</v>
      </c>
      <c r="AT20" t="s">
        <v>58</v>
      </c>
    </row>
    <row r="21" spans="1:46" ht="18.75" customHeight="1" x14ac:dyDescent="0.3">
      <c r="A21" s="6">
        <v>20</v>
      </c>
      <c r="B21" s="6">
        <v>112252</v>
      </c>
      <c r="C21" t="s">
        <v>131</v>
      </c>
      <c r="D21" t="s">
        <v>132</v>
      </c>
      <c r="E21" t="s">
        <v>133</v>
      </c>
      <c r="F21" t="s">
        <v>134</v>
      </c>
      <c r="G21" s="7">
        <v>38857</v>
      </c>
      <c r="H21" t="str">
        <f t="shared" si="0"/>
        <v>ABC-112252</v>
      </c>
      <c r="I21" t="s">
        <v>50</v>
      </c>
      <c r="J21" s="8">
        <v>43952</v>
      </c>
      <c r="K21" s="9" t="s">
        <v>51</v>
      </c>
      <c r="L21" s="6">
        <v>1</v>
      </c>
      <c r="M21" t="s">
        <v>52</v>
      </c>
      <c r="N21" s="6">
        <v>39</v>
      </c>
      <c r="O21" s="6">
        <v>8</v>
      </c>
      <c r="P21" s="6">
        <v>22</v>
      </c>
      <c r="Q21" s="6">
        <v>18</v>
      </c>
      <c r="R21" t="s">
        <v>53</v>
      </c>
      <c r="S21" s="6">
        <v>32</v>
      </c>
      <c r="T21" s="6">
        <v>14</v>
      </c>
      <c r="U21" s="6">
        <v>20</v>
      </c>
      <c r="V21" s="6">
        <v>22</v>
      </c>
      <c r="W21" t="s">
        <v>54</v>
      </c>
      <c r="X21" s="6">
        <v>73</v>
      </c>
      <c r="Y21" s="6">
        <v>18</v>
      </c>
      <c r="Z21" s="6">
        <v>10</v>
      </c>
      <c r="AA21" s="6">
        <v>23</v>
      </c>
      <c r="AB21" t="s">
        <v>55</v>
      </c>
      <c r="AC21" s="6">
        <v>58</v>
      </c>
      <c r="AD21" s="6">
        <v>15</v>
      </c>
      <c r="AE21" s="6">
        <v>22</v>
      </c>
      <c r="AF21" s="6">
        <v>10</v>
      </c>
      <c r="AG21" t="s">
        <v>56</v>
      </c>
      <c r="AH21" s="6">
        <v>32</v>
      </c>
      <c r="AI21" s="6">
        <v>14</v>
      </c>
      <c r="AJ21" s="6">
        <v>20</v>
      </c>
      <c r="AK21" s="6">
        <v>22</v>
      </c>
      <c r="AL21" t="s">
        <v>57</v>
      </c>
      <c r="AM21" s="6">
        <v>73</v>
      </c>
      <c r="AN21" s="6">
        <v>18</v>
      </c>
      <c r="AO21" s="6">
        <v>10</v>
      </c>
      <c r="AP21" s="6">
        <v>23</v>
      </c>
      <c r="AQ21" s="6">
        <v>750</v>
      </c>
      <c r="AR21" s="6">
        <f t="shared" si="1"/>
        <v>616</v>
      </c>
      <c r="AS21" s="10">
        <f t="shared" si="2"/>
        <v>82.13333333333334</v>
      </c>
      <c r="AT21" t="s">
        <v>58</v>
      </c>
    </row>
    <row r="22" spans="1:46" ht="18.75" customHeight="1" x14ac:dyDescent="0.3">
      <c r="A22" s="6">
        <v>21</v>
      </c>
      <c r="B22" s="6">
        <v>112253</v>
      </c>
      <c r="C22" t="s">
        <v>135</v>
      </c>
      <c r="D22" t="s">
        <v>136</v>
      </c>
      <c r="E22" t="s">
        <v>137</v>
      </c>
      <c r="F22" t="s">
        <v>138</v>
      </c>
      <c r="G22" s="7">
        <v>38858</v>
      </c>
      <c r="H22" t="str">
        <f t="shared" si="0"/>
        <v>ABC-112253</v>
      </c>
      <c r="I22" t="s">
        <v>50</v>
      </c>
      <c r="J22" s="8">
        <v>43952</v>
      </c>
      <c r="K22" s="9" t="s">
        <v>51</v>
      </c>
      <c r="L22" s="6">
        <v>1</v>
      </c>
      <c r="M22" t="s">
        <v>52</v>
      </c>
      <c r="N22" s="6">
        <v>52</v>
      </c>
      <c r="O22" s="6">
        <v>15</v>
      </c>
      <c r="P22" s="6">
        <v>20</v>
      </c>
      <c r="Q22" s="6">
        <v>15</v>
      </c>
      <c r="R22" t="s">
        <v>53</v>
      </c>
      <c r="S22" s="6">
        <v>35</v>
      </c>
      <c r="T22" s="6">
        <v>12</v>
      </c>
      <c r="U22" s="6">
        <v>15</v>
      </c>
      <c r="V22" s="6">
        <v>20</v>
      </c>
      <c r="W22" t="s">
        <v>54</v>
      </c>
      <c r="X22" s="6">
        <v>32</v>
      </c>
      <c r="Y22" s="6">
        <v>14</v>
      </c>
      <c r="Z22" s="6">
        <v>20</v>
      </c>
      <c r="AA22" s="6">
        <v>22</v>
      </c>
      <c r="AB22" t="s">
        <v>55</v>
      </c>
      <c r="AC22" s="6">
        <v>42</v>
      </c>
      <c r="AD22" s="6">
        <v>14</v>
      </c>
      <c r="AE22" s="6">
        <v>22</v>
      </c>
      <c r="AF22" s="6">
        <v>22</v>
      </c>
      <c r="AG22" t="s">
        <v>56</v>
      </c>
      <c r="AH22" s="6">
        <v>35</v>
      </c>
      <c r="AI22" s="6">
        <v>12</v>
      </c>
      <c r="AJ22" s="6">
        <v>15</v>
      </c>
      <c r="AK22" s="6">
        <v>20</v>
      </c>
      <c r="AL22" t="s">
        <v>57</v>
      </c>
      <c r="AM22" s="6">
        <v>32</v>
      </c>
      <c r="AN22" s="6">
        <v>14</v>
      </c>
      <c r="AO22" s="6">
        <v>20</v>
      </c>
      <c r="AP22" s="6">
        <v>22</v>
      </c>
      <c r="AQ22" s="6">
        <v>750</v>
      </c>
      <c r="AR22" s="6">
        <f t="shared" si="1"/>
        <v>542</v>
      </c>
      <c r="AS22" s="10">
        <f t="shared" si="2"/>
        <v>72.266666666666666</v>
      </c>
      <c r="AT22" t="s">
        <v>58</v>
      </c>
    </row>
    <row r="23" spans="1:46" ht="18.75" customHeight="1" x14ac:dyDescent="0.3">
      <c r="A23" s="6">
        <v>22</v>
      </c>
      <c r="B23" s="6">
        <v>112254</v>
      </c>
      <c r="C23" t="s">
        <v>139</v>
      </c>
      <c r="D23" t="s">
        <v>140</v>
      </c>
      <c r="E23" t="s">
        <v>141</v>
      </c>
      <c r="F23" t="s">
        <v>142</v>
      </c>
      <c r="G23" s="7">
        <v>38859</v>
      </c>
      <c r="H23" t="str">
        <f t="shared" si="0"/>
        <v>ABC-112254</v>
      </c>
      <c r="I23" t="s">
        <v>50</v>
      </c>
      <c r="J23" s="8">
        <v>43952</v>
      </c>
      <c r="K23" s="9" t="s">
        <v>51</v>
      </c>
      <c r="L23" s="6">
        <v>1</v>
      </c>
      <c r="M23" t="s">
        <v>52</v>
      </c>
      <c r="N23" s="6">
        <v>73</v>
      </c>
      <c r="O23" s="6">
        <v>18</v>
      </c>
      <c r="P23" s="6">
        <v>10</v>
      </c>
      <c r="Q23" s="6">
        <v>23</v>
      </c>
      <c r="R23" t="s">
        <v>53</v>
      </c>
      <c r="S23" s="6">
        <v>52</v>
      </c>
      <c r="T23" s="6">
        <v>15</v>
      </c>
      <c r="U23" s="6">
        <v>20</v>
      </c>
      <c r="V23" s="6">
        <v>15</v>
      </c>
      <c r="W23" t="s">
        <v>54</v>
      </c>
      <c r="X23" s="6">
        <v>35</v>
      </c>
      <c r="Y23" s="6">
        <v>12</v>
      </c>
      <c r="Z23" s="6">
        <v>15</v>
      </c>
      <c r="AA23" s="6">
        <v>20</v>
      </c>
      <c r="AB23" t="s">
        <v>55</v>
      </c>
      <c r="AC23" s="6">
        <v>52</v>
      </c>
      <c r="AD23" s="6">
        <v>15</v>
      </c>
      <c r="AE23" s="6">
        <v>20</v>
      </c>
      <c r="AF23" s="6">
        <v>15</v>
      </c>
      <c r="AG23" t="s">
        <v>56</v>
      </c>
      <c r="AH23" s="6">
        <v>52</v>
      </c>
      <c r="AI23" s="6">
        <v>15</v>
      </c>
      <c r="AJ23" s="6">
        <v>20</v>
      </c>
      <c r="AK23" s="6">
        <v>15</v>
      </c>
      <c r="AL23" t="s">
        <v>57</v>
      </c>
      <c r="AM23" s="6">
        <v>35</v>
      </c>
      <c r="AN23" s="6">
        <v>12</v>
      </c>
      <c r="AO23" s="6">
        <v>15</v>
      </c>
      <c r="AP23" s="6">
        <v>20</v>
      </c>
      <c r="AQ23" s="6">
        <v>750</v>
      </c>
      <c r="AR23" s="6">
        <f t="shared" si="1"/>
        <v>594</v>
      </c>
      <c r="AS23" s="10">
        <f t="shared" si="2"/>
        <v>79.2</v>
      </c>
      <c r="AT23" t="s">
        <v>58</v>
      </c>
    </row>
    <row r="24" spans="1:46" ht="18.75" customHeight="1" x14ac:dyDescent="0.3">
      <c r="A24" s="6">
        <v>23</v>
      </c>
      <c r="B24" s="6">
        <v>112255</v>
      </c>
      <c r="C24" t="s">
        <v>143</v>
      </c>
      <c r="D24" t="s">
        <v>144</v>
      </c>
      <c r="E24" t="s">
        <v>145</v>
      </c>
      <c r="F24" t="s">
        <v>146</v>
      </c>
      <c r="G24" s="7">
        <v>38860</v>
      </c>
      <c r="H24" t="str">
        <f t="shared" si="0"/>
        <v>ABC-112255</v>
      </c>
      <c r="I24" t="s">
        <v>50</v>
      </c>
      <c r="J24" s="8">
        <v>43952</v>
      </c>
      <c r="K24" s="9" t="s">
        <v>51</v>
      </c>
      <c r="L24" s="6">
        <v>1</v>
      </c>
      <c r="M24" t="s">
        <v>52</v>
      </c>
      <c r="N24" s="6">
        <v>58</v>
      </c>
      <c r="O24" s="6">
        <v>15</v>
      </c>
      <c r="P24" s="6">
        <v>22</v>
      </c>
      <c r="Q24" s="6">
        <v>10</v>
      </c>
      <c r="R24" t="s">
        <v>53</v>
      </c>
      <c r="S24" s="6">
        <v>73</v>
      </c>
      <c r="T24" s="6">
        <v>18</v>
      </c>
      <c r="U24" s="6">
        <v>10</v>
      </c>
      <c r="V24" s="6">
        <v>23</v>
      </c>
      <c r="W24" t="s">
        <v>54</v>
      </c>
      <c r="X24" s="6">
        <v>52</v>
      </c>
      <c r="Y24" s="6">
        <v>15</v>
      </c>
      <c r="Z24" s="6">
        <v>20</v>
      </c>
      <c r="AA24" s="6">
        <v>15</v>
      </c>
      <c r="AB24" t="s">
        <v>55</v>
      </c>
      <c r="AC24" s="6">
        <v>58</v>
      </c>
      <c r="AD24" s="6">
        <v>15</v>
      </c>
      <c r="AE24" s="6">
        <v>22</v>
      </c>
      <c r="AF24" s="6">
        <v>10</v>
      </c>
      <c r="AG24" t="s">
        <v>56</v>
      </c>
      <c r="AH24" s="6">
        <v>58</v>
      </c>
      <c r="AI24" s="6">
        <v>15</v>
      </c>
      <c r="AJ24" s="6">
        <v>22</v>
      </c>
      <c r="AK24" s="6">
        <v>10</v>
      </c>
      <c r="AL24" t="s">
        <v>57</v>
      </c>
      <c r="AM24" s="6">
        <v>58</v>
      </c>
      <c r="AN24" s="6">
        <v>15</v>
      </c>
      <c r="AO24" s="6">
        <v>22</v>
      </c>
      <c r="AP24" s="6">
        <v>10</v>
      </c>
      <c r="AQ24" s="6">
        <v>750</v>
      </c>
      <c r="AR24" s="6">
        <f t="shared" si="1"/>
        <v>646</v>
      </c>
      <c r="AS24" s="10">
        <f t="shared" si="2"/>
        <v>86.133333333333326</v>
      </c>
      <c r="AT24" t="s">
        <v>58</v>
      </c>
    </row>
    <row r="25" spans="1:46" ht="18.75" customHeight="1" x14ac:dyDescent="0.3">
      <c r="A25" s="6">
        <v>24</v>
      </c>
      <c r="B25" s="6">
        <v>112256</v>
      </c>
      <c r="C25" t="s">
        <v>147</v>
      </c>
      <c r="D25" t="s">
        <v>148</v>
      </c>
      <c r="E25" t="s">
        <v>149</v>
      </c>
      <c r="F25" t="s">
        <v>150</v>
      </c>
      <c r="G25" s="7">
        <v>38861</v>
      </c>
      <c r="H25" t="str">
        <f t="shared" si="0"/>
        <v>ABC-112256</v>
      </c>
      <c r="I25" t="s">
        <v>50</v>
      </c>
      <c r="J25" s="8">
        <v>43952</v>
      </c>
      <c r="K25" s="9" t="s">
        <v>51</v>
      </c>
      <c r="L25" s="6">
        <v>1</v>
      </c>
      <c r="M25" t="s">
        <v>52</v>
      </c>
      <c r="N25" s="6">
        <v>42</v>
      </c>
      <c r="O25" s="6">
        <v>14</v>
      </c>
      <c r="P25" s="6">
        <v>22</v>
      </c>
      <c r="Q25" s="6">
        <v>22</v>
      </c>
      <c r="R25" t="s">
        <v>53</v>
      </c>
      <c r="S25" s="6">
        <v>58</v>
      </c>
      <c r="T25" s="6">
        <v>15</v>
      </c>
      <c r="U25" s="6">
        <v>22</v>
      </c>
      <c r="V25" s="6">
        <v>10</v>
      </c>
      <c r="W25" t="s">
        <v>54</v>
      </c>
      <c r="X25" s="6">
        <v>58</v>
      </c>
      <c r="Y25" s="6">
        <v>15</v>
      </c>
      <c r="Z25" s="6">
        <v>22</v>
      </c>
      <c r="AA25" s="6">
        <v>10</v>
      </c>
      <c r="AB25" t="s">
        <v>55</v>
      </c>
      <c r="AC25" s="6">
        <v>73</v>
      </c>
      <c r="AD25" s="6">
        <v>18</v>
      </c>
      <c r="AE25" s="6">
        <v>10</v>
      </c>
      <c r="AF25" s="6">
        <v>23</v>
      </c>
      <c r="AG25" t="s">
        <v>56</v>
      </c>
      <c r="AH25" s="6">
        <v>58</v>
      </c>
      <c r="AI25" s="6">
        <v>15</v>
      </c>
      <c r="AJ25" s="6">
        <v>22</v>
      </c>
      <c r="AK25" s="6">
        <v>10</v>
      </c>
      <c r="AL25" t="s">
        <v>57</v>
      </c>
      <c r="AM25" s="6">
        <v>73</v>
      </c>
      <c r="AN25" s="6">
        <v>18</v>
      </c>
      <c r="AO25" s="6">
        <v>10</v>
      </c>
      <c r="AP25" s="6">
        <v>23</v>
      </c>
      <c r="AQ25" s="6">
        <v>750</v>
      </c>
      <c r="AR25" s="6">
        <f t="shared" si="1"/>
        <v>663</v>
      </c>
      <c r="AS25" s="10">
        <f t="shared" si="2"/>
        <v>88.4</v>
      </c>
      <c r="AT25" t="s">
        <v>58</v>
      </c>
    </row>
    <row r="26" spans="1:46" ht="18.75" customHeight="1" x14ac:dyDescent="0.3">
      <c r="A26" s="6">
        <v>25</v>
      </c>
      <c r="B26" s="6">
        <v>112257</v>
      </c>
      <c r="C26" t="s">
        <v>151</v>
      </c>
      <c r="D26" t="s">
        <v>152</v>
      </c>
      <c r="E26" t="s">
        <v>153</v>
      </c>
      <c r="F26" t="s">
        <v>154</v>
      </c>
      <c r="G26" s="7">
        <v>38862</v>
      </c>
      <c r="H26" t="str">
        <f t="shared" si="0"/>
        <v>ABC-112257</v>
      </c>
      <c r="I26" t="s">
        <v>50</v>
      </c>
      <c r="J26" s="8">
        <v>43952</v>
      </c>
      <c r="K26" s="9" t="s">
        <v>51</v>
      </c>
      <c r="L26" s="6">
        <v>1</v>
      </c>
      <c r="M26" t="s">
        <v>52</v>
      </c>
      <c r="N26" s="6">
        <v>32</v>
      </c>
      <c r="O26" s="6">
        <v>14</v>
      </c>
      <c r="P26" s="6">
        <v>20</v>
      </c>
      <c r="Q26" s="6">
        <v>22</v>
      </c>
      <c r="R26" t="s">
        <v>53</v>
      </c>
      <c r="S26" s="6">
        <v>42</v>
      </c>
      <c r="T26" s="6">
        <v>14</v>
      </c>
      <c r="U26" s="6">
        <v>22</v>
      </c>
      <c r="V26" s="6">
        <v>22</v>
      </c>
      <c r="W26" t="s">
        <v>54</v>
      </c>
      <c r="X26" s="6">
        <v>42</v>
      </c>
      <c r="Y26" s="6">
        <v>14</v>
      </c>
      <c r="Z26" s="6">
        <v>22</v>
      </c>
      <c r="AA26" s="6">
        <v>22</v>
      </c>
      <c r="AB26" t="s">
        <v>55</v>
      </c>
      <c r="AC26" s="6">
        <v>32</v>
      </c>
      <c r="AD26" s="6">
        <v>14</v>
      </c>
      <c r="AE26" s="6">
        <v>20</v>
      </c>
      <c r="AF26" s="6">
        <v>22</v>
      </c>
      <c r="AG26" t="s">
        <v>56</v>
      </c>
      <c r="AH26" s="6">
        <v>73</v>
      </c>
      <c r="AI26" s="6">
        <v>18</v>
      </c>
      <c r="AJ26" s="6">
        <v>10</v>
      </c>
      <c r="AK26" s="6">
        <v>23</v>
      </c>
      <c r="AL26" t="s">
        <v>57</v>
      </c>
      <c r="AM26" s="6">
        <v>32</v>
      </c>
      <c r="AN26" s="6">
        <v>14</v>
      </c>
      <c r="AO26" s="6">
        <v>20</v>
      </c>
      <c r="AP26" s="6">
        <v>22</v>
      </c>
      <c r="AQ26" s="6">
        <v>750</v>
      </c>
      <c r="AR26" s="6">
        <f t="shared" si="1"/>
        <v>588</v>
      </c>
      <c r="AS26" s="10">
        <f t="shared" si="2"/>
        <v>78.400000000000006</v>
      </c>
      <c r="AT26" t="s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SEM-1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 More</cp:lastModifiedBy>
  <dcterms:created xsi:type="dcterms:W3CDTF">2024-12-17T10:12:44Z</dcterms:created>
  <dcterms:modified xsi:type="dcterms:W3CDTF">2025-01-02T13:11:25Z</dcterms:modified>
</cp:coreProperties>
</file>