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EM-1"/>
  </sheets>
  <calcPr fullCalcOnLoad="1"/>
</workbook>
</file>

<file path=xl/sharedStrings.xml><?xml version="1.0" encoding="utf-8"?>
<sst xmlns="http://schemas.openxmlformats.org/spreadsheetml/2006/main" count="371" uniqueCount="155">
  <si>
    <t>Exam_SEAT_NO</t>
  </si>
  <si>
    <t>REG_NO</t>
  </si>
  <si>
    <t>SUR_NAME</t>
  </si>
  <si>
    <t>FIRST_NAME</t>
  </si>
  <si>
    <t>LAST_NAME</t>
  </si>
  <si>
    <t>MOTHER_NAME</t>
  </si>
  <si>
    <t>DATE</t>
  </si>
  <si>
    <t>SMART_CARD_NO</t>
  </si>
  <si>
    <t>BRANCH</t>
  </si>
  <si>
    <t>EXAM_HELD_IN</t>
  </si>
  <si>
    <t>BRANCH_NAME</t>
  </si>
  <si>
    <t>SEMESTER</t>
  </si>
  <si>
    <t>SUB_1_NAME</t>
  </si>
  <si>
    <t>SUB_1_THEORY</t>
  </si>
  <si>
    <t>SUB_1_INTERNAL</t>
  </si>
  <si>
    <t>SUB_1_PRACTICAL_ORAL</t>
  </si>
  <si>
    <t>SUB_1_TERM_WORK</t>
  </si>
  <si>
    <t>SUB_2_NAME</t>
  </si>
  <si>
    <t>SUB_2_THEORY</t>
  </si>
  <si>
    <t>SUB_2_INTERNAL</t>
  </si>
  <si>
    <t>SUB_2_PRACTICAL_ORAL</t>
  </si>
  <si>
    <t>SUB_2_TERM_WORK</t>
  </si>
  <si>
    <t>SUB_3_NAME</t>
  </si>
  <si>
    <t>SUB_3_THEORY</t>
  </si>
  <si>
    <t>SUB_3_INTERNAL</t>
  </si>
  <si>
    <t>SUB_3_PRACTICAL_ORAL</t>
  </si>
  <si>
    <t>SUB_3_TERM_WORK</t>
  </si>
  <si>
    <t>SUB_4_NAME</t>
  </si>
  <si>
    <t>SUB_4_THEORY</t>
  </si>
  <si>
    <t>SUB_4_INTERNAL</t>
  </si>
  <si>
    <t>SUB_4_PRACTICAL_ORAL</t>
  </si>
  <si>
    <t>SUB_4_TERM_WORK</t>
  </si>
  <si>
    <t>SUB_5_NAME</t>
  </si>
  <si>
    <t>SUB_5_THEORY</t>
  </si>
  <si>
    <t>SUB_5_INTERNAL</t>
  </si>
  <si>
    <t>SUB_5_PRACTICAL_ORAL</t>
  </si>
  <si>
    <t>SUB_5_TERM_WORK</t>
  </si>
  <si>
    <t>SUB_6_NAME</t>
  </si>
  <si>
    <t>SUB_6_THEORY</t>
  </si>
  <si>
    <t>SUB_6_INTERNAL</t>
  </si>
  <si>
    <t>SUB_6_PRACTICAL_ORAL</t>
  </si>
  <si>
    <t>SUB_6_TERM_WORK</t>
  </si>
  <si>
    <t>TOTAL_MARKS</t>
  </si>
  <si>
    <t>SECURED_MARKS</t>
  </si>
  <si>
    <t>PERCENTAGE</t>
  </si>
  <si>
    <t>RESULT</t>
  </si>
  <si>
    <t>SURNAME1</t>
  </si>
  <si>
    <t>FIRST_NAME1</t>
  </si>
  <si>
    <t>LAST_NAME1</t>
  </si>
  <si>
    <t>MOTHER_1</t>
  </si>
  <si>
    <t>COMPUTER ENGINEERING</t>
  </si>
  <si>
    <t>ELECTRONICS ENGINEERING</t>
  </si>
  <si>
    <t>Applied Mathematics-I</t>
  </si>
  <si>
    <t>Applied Physics-I</t>
  </si>
  <si>
    <t>Applied Chemistry –I</t>
  </si>
  <si>
    <t>Engineering Mechanics</t>
  </si>
  <si>
    <t>Basic Electrical Engineering</t>
  </si>
  <si>
    <t>Environmental studies</t>
  </si>
  <si>
    <t>P</t>
  </si>
  <si>
    <t>SURNAME2</t>
  </si>
  <si>
    <t>FIRST_NAME2</t>
  </si>
  <si>
    <t>LAST_NAME2</t>
  </si>
  <si>
    <t>MOTHER_2</t>
  </si>
  <si>
    <t>SURNAME3</t>
  </si>
  <si>
    <t>FIRST_NAME3</t>
  </si>
  <si>
    <t>LAST_NAME3</t>
  </si>
  <si>
    <t>MOTHER_3</t>
  </si>
  <si>
    <t>SURNAME4</t>
  </si>
  <si>
    <t>FIRST_NAME4</t>
  </si>
  <si>
    <t>LAST_NAME4</t>
  </si>
  <si>
    <t>MOTHER_4</t>
  </si>
  <si>
    <t>SURNAME5</t>
  </si>
  <si>
    <t>FIRST_NAME5</t>
  </si>
  <si>
    <t>LAST_NAME5</t>
  </si>
  <si>
    <t>MOTHER_5</t>
  </si>
  <si>
    <t>SURNAME6</t>
  </si>
  <si>
    <t>FIRST_NAME6</t>
  </si>
  <si>
    <t>LAST_NAME6</t>
  </si>
  <si>
    <t>MOTHER_6</t>
  </si>
  <si>
    <t>SURNAME7</t>
  </si>
  <si>
    <t>FIRST_NAME7</t>
  </si>
  <si>
    <t>LAST_NAME7</t>
  </si>
  <si>
    <t>MOTHER_7</t>
  </si>
  <si>
    <t>SURNAME8</t>
  </si>
  <si>
    <t>FIRST_NAME8</t>
  </si>
  <si>
    <t>LAST_NAME8</t>
  </si>
  <si>
    <t>MOTHER_8</t>
  </si>
  <si>
    <t>SURNAME9</t>
  </si>
  <si>
    <t>FIRST_NAME9</t>
  </si>
  <si>
    <t>LAST_NAME9</t>
  </si>
  <si>
    <t>MOTHER_9</t>
  </si>
  <si>
    <t>SURNAME10</t>
  </si>
  <si>
    <t>FIRST_NAME10</t>
  </si>
  <si>
    <t>LAST_NAME10</t>
  </si>
  <si>
    <t>MOTHER_10</t>
  </si>
  <si>
    <t>SURNAME11</t>
  </si>
  <si>
    <t>FIRST_NAME11</t>
  </si>
  <si>
    <t>LAST_NAME11</t>
  </si>
  <si>
    <t>MOTHER_11</t>
  </si>
  <si>
    <t>SURNAME12</t>
  </si>
  <si>
    <t>FIRST_NAME12</t>
  </si>
  <si>
    <t>LAST_NAME12</t>
  </si>
  <si>
    <t>MOTHER_12</t>
  </si>
  <si>
    <t>SURNAME13</t>
  </si>
  <si>
    <t>FIRST_NAME13</t>
  </si>
  <si>
    <t>LAST_NAME13</t>
  </si>
  <si>
    <t>MOTHER_13</t>
  </si>
  <si>
    <t>SURNAME14</t>
  </si>
  <si>
    <t>FIRST_NAME14</t>
  </si>
  <si>
    <t>LAST_NAME14</t>
  </si>
  <si>
    <t>MOTHER_14</t>
  </si>
  <si>
    <t>SURNAME15</t>
  </si>
  <si>
    <t>FIRST_NAME15</t>
  </si>
  <si>
    <t>LAST_NAME15</t>
  </si>
  <si>
    <t>MOTHER_15</t>
  </si>
  <si>
    <t>SURNAME16</t>
  </si>
  <si>
    <t>FIRST_NAME16</t>
  </si>
  <si>
    <t>LAST_NAME16</t>
  </si>
  <si>
    <t>MOTHER_16</t>
  </si>
  <si>
    <t>SURNAME17</t>
  </si>
  <si>
    <t>FIRST_NAME17</t>
  </si>
  <si>
    <t>LAST_NAME17</t>
  </si>
  <si>
    <t>MOTHER_17</t>
  </si>
  <si>
    <t>SURNAME18</t>
  </si>
  <si>
    <t>FIRST_NAME18</t>
  </si>
  <si>
    <t>LAST_NAME18</t>
  </si>
  <si>
    <t>MOTHER_18</t>
  </si>
  <si>
    <t>SURNAME19</t>
  </si>
  <si>
    <t>FIRST_NAME19</t>
  </si>
  <si>
    <t>LAST_NAME19</t>
  </si>
  <si>
    <t>MOTHER_19</t>
  </si>
  <si>
    <t>SURNAME20</t>
  </si>
  <si>
    <t>FIRST_NAME20</t>
  </si>
  <si>
    <t>LAST_NAME20</t>
  </si>
  <si>
    <t>MOTHER_20</t>
  </si>
  <si>
    <t>SURNAME21</t>
  </si>
  <si>
    <t>FIRST_NAME21</t>
  </si>
  <si>
    <t>LAST_NAME21</t>
  </si>
  <si>
    <t>MOTHER_21</t>
  </si>
  <si>
    <t>SURNAME22</t>
  </si>
  <si>
    <t>FIRST_NAME22</t>
  </si>
  <si>
    <t>LAST_NAME22</t>
  </si>
  <si>
    <t>MOTHER_22</t>
  </si>
  <si>
    <t>SURNAME23</t>
  </si>
  <si>
    <t>FIRST_NAME23</t>
  </si>
  <si>
    <t>LAST_NAME23</t>
  </si>
  <si>
    <t>MOTHER_23</t>
  </si>
  <si>
    <t>SURNAME24</t>
  </si>
  <si>
    <t>FIRST_NAME24</t>
  </si>
  <si>
    <t>LAST_NAME24</t>
  </si>
  <si>
    <t>MOTHER_24</t>
  </si>
  <si>
    <t>SURNAME25</t>
  </si>
  <si>
    <t>FIRST_NAME25</t>
  </si>
  <si>
    <t>LAST_NAME25</t>
  </si>
  <si>
    <t>MOTHER_25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</si>
</sst>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xfId="0" numFmtId="0" borderId="0" fontId="0" fillId="0"/>
    <xf xfId="0" numFmtId="3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14" applyNumberFormat="1" borderId="1" applyBorder="1" fontId="1" applyFont="1" fillId="0" applyAlignment="1">
      <alignment horizontal="left"/>
    </xf>
    <xf xfId="0" numFmtId="17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14" applyNumberFormat="1" borderId="1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17" applyNumberFormat="1" borderId="1" applyBorder="1" fontId="2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4" applyNumberFormat="1" borderId="1" applyBorder="1" fontId="2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17" applyNumberFormat="1" borderId="0" fontId="0" fillId="0" applyAlignment="1">
      <alignment horizontal="general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T26"/>
  <sheetViews>
    <sheetView workbookViewId="0" tabSelected="1"/>
  </sheetViews>
  <sheetFormatPr defaultRowHeight="15" x14ac:dyDescent="0.25"/>
  <cols>
    <col min="1" max="1" style="13" width="15.005" customWidth="1" bestFit="1"/>
    <col min="2" max="2" style="13" width="9.147857142857141" customWidth="1" bestFit="1"/>
    <col min="3" max="3" style="14" width="11.862142857142858" customWidth="1" bestFit="1"/>
    <col min="4" max="4" style="14" width="14.290714285714287" customWidth="1" bestFit="1"/>
    <col min="5" max="5" style="14" width="13.719285714285713" customWidth="1" bestFit="1"/>
    <col min="6" max="6" style="14" width="16.005" customWidth="1" bestFit="1"/>
    <col min="7" max="7" style="15" width="13.719285714285713" customWidth="1" bestFit="1"/>
    <col min="8" max="8" style="14" width="17.005" customWidth="1" bestFit="1"/>
    <col min="9" max="9" style="14" width="23.862142857142857" customWidth="1" bestFit="1"/>
    <col min="10" max="10" style="16" width="14.719285714285713" customWidth="1" bestFit="1"/>
    <col min="11" max="11" style="14" width="25.862142857142857" customWidth="1" bestFit="1"/>
    <col min="12" max="12" style="13" width="9.862142857142858" customWidth="1" bestFit="1"/>
    <col min="13" max="13" style="14" width="21.576428571428572" customWidth="1" bestFit="1"/>
    <col min="14" max="14" style="13" width="14.43357142857143" customWidth="1" bestFit="1"/>
    <col min="15" max="15" style="13" width="16.290714285714284" customWidth="1" bestFit="1"/>
    <col min="16" max="16" style="13" width="22.862142857142857" customWidth="1" bestFit="1"/>
    <col min="17" max="17" style="13" width="19.14785714285714" customWidth="1" bestFit="1"/>
    <col min="18" max="18" style="14" width="16.290714285714284" customWidth="1" bestFit="1"/>
    <col min="19" max="19" style="13" width="14.43357142857143" customWidth="1" bestFit="1"/>
    <col min="20" max="20" style="13" width="16.290714285714284" customWidth="1" bestFit="1"/>
    <col min="21" max="21" style="13" width="22.862142857142857" customWidth="1" bestFit="1"/>
    <col min="22" max="22" style="13" width="19.14785714285714" customWidth="1" bestFit="1"/>
    <col min="23" max="23" style="14" width="19.719285714285714" customWidth="1" bestFit="1"/>
    <col min="24" max="24" style="13" width="14.43357142857143" customWidth="1" bestFit="1"/>
    <col min="25" max="25" style="13" width="16.290714285714284" customWidth="1" bestFit="1"/>
    <col min="26" max="26" style="13" width="22.862142857142857" customWidth="1" bestFit="1"/>
    <col min="27" max="27" style="13" width="19.14785714285714" customWidth="1" bestFit="1"/>
    <col min="28" max="28" style="14" width="21.719285714285714" customWidth="1" bestFit="1"/>
    <col min="29" max="29" style="13" width="14.43357142857143" customWidth="1" bestFit="1"/>
    <col min="30" max="30" style="13" width="16.290714285714284" customWidth="1" bestFit="1"/>
    <col min="31" max="31" style="13" width="22.862142857142857" customWidth="1" bestFit="1"/>
    <col min="32" max="32" style="13" width="19.14785714285714" customWidth="1" bestFit="1"/>
    <col min="33" max="33" style="14" width="25.290714285714284" customWidth="1" bestFit="1"/>
    <col min="34" max="34" style="13" width="14.43357142857143" customWidth="1" bestFit="1"/>
    <col min="35" max="35" style="13" width="16.290714285714284" customWidth="1" bestFit="1"/>
    <col min="36" max="36" style="13" width="22.862142857142857" customWidth="1" bestFit="1"/>
    <col min="37" max="37" style="13" width="19.14785714285714" customWidth="1" bestFit="1"/>
    <col min="38" max="38" style="14" width="21.14785714285714" customWidth="1" bestFit="1"/>
    <col min="39" max="39" style="13" width="14.43357142857143" customWidth="1" bestFit="1"/>
    <col min="40" max="40" style="13" width="16.290714285714284" customWidth="1" bestFit="1"/>
    <col min="41" max="41" style="13" width="22.862142857142857" customWidth="1" bestFit="1"/>
    <col min="42" max="42" style="13" width="19.14785714285714" customWidth="1" bestFit="1"/>
    <col min="43" max="43" style="13" width="14.005" customWidth="1" bestFit="1"/>
    <col min="44" max="44" style="13" width="16.290714285714284" customWidth="1" bestFit="1"/>
    <col min="45" max="45" style="17" width="12.43357142857143" customWidth="1" bestFit="1"/>
    <col min="46" max="46" style="14" width="7.2907142857142855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4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2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5" t="s">
        <v>44</v>
      </c>
      <c r="AT1" s="2" t="s">
        <v>45</v>
      </c>
    </row>
    <row x14ac:dyDescent="0.25" r="2" customHeight="1" ht="18.75">
      <c r="A2" s="6">
        <v>1</v>
      </c>
      <c r="B2" s="6">
        <v>112233</v>
      </c>
      <c r="C2" s="7" t="s">
        <v>46</v>
      </c>
      <c r="D2" s="7" t="s">
        <v>47</v>
      </c>
      <c r="E2" s="7" t="s">
        <v>48</v>
      </c>
      <c r="F2" s="7" t="s">
        <v>49</v>
      </c>
      <c r="G2" s="8">
        <v>38838</v>
      </c>
      <c r="H2" s="9">
        <f>"ABC-"&amp;B2</f>
      </c>
      <c r="I2" s="7" t="s">
        <v>50</v>
      </c>
      <c r="J2" s="10">
        <v>43952</v>
      </c>
      <c r="K2" s="11" t="s">
        <v>51</v>
      </c>
      <c r="L2" s="6">
        <v>1</v>
      </c>
      <c r="M2" s="7" t="s">
        <v>52</v>
      </c>
      <c r="N2" s="6">
        <v>45</v>
      </c>
      <c r="O2" s="6">
        <v>11</v>
      </c>
      <c r="P2" s="6">
        <v>24</v>
      </c>
      <c r="Q2" s="6">
        <v>17</v>
      </c>
      <c r="R2" s="7" t="s">
        <v>53</v>
      </c>
      <c r="S2" s="6">
        <v>68</v>
      </c>
      <c r="T2" s="6">
        <v>17</v>
      </c>
      <c r="U2" s="6">
        <v>22</v>
      </c>
      <c r="V2" s="6">
        <v>24</v>
      </c>
      <c r="W2" s="7" t="s">
        <v>54</v>
      </c>
      <c r="X2" s="6">
        <v>73</v>
      </c>
      <c r="Y2" s="6">
        <v>18</v>
      </c>
      <c r="Z2" s="6">
        <v>10</v>
      </c>
      <c r="AA2" s="6">
        <v>23</v>
      </c>
      <c r="AB2" s="7" t="s">
        <v>55</v>
      </c>
      <c r="AC2" s="6">
        <v>35</v>
      </c>
      <c r="AD2" s="6">
        <v>12</v>
      </c>
      <c r="AE2" s="6">
        <v>15</v>
      </c>
      <c r="AF2" s="6">
        <v>20</v>
      </c>
      <c r="AG2" s="7" t="s">
        <v>56</v>
      </c>
      <c r="AH2" s="6">
        <v>52</v>
      </c>
      <c r="AI2" s="6">
        <v>15</v>
      </c>
      <c r="AJ2" s="6">
        <v>20</v>
      </c>
      <c r="AK2" s="6">
        <v>15</v>
      </c>
      <c r="AL2" s="7" t="s">
        <v>57</v>
      </c>
      <c r="AM2" s="6">
        <v>35</v>
      </c>
      <c r="AN2" s="6">
        <v>12</v>
      </c>
      <c r="AO2" s="6">
        <v>15</v>
      </c>
      <c r="AP2" s="6">
        <v>20</v>
      </c>
      <c r="AQ2" s="6">
        <v>750</v>
      </c>
      <c r="AR2" s="6">
        <f>SUM(N2:AP2)</f>
      </c>
      <c r="AS2" s="12">
        <f>AR2/AQ2*100</f>
      </c>
      <c r="AT2" s="7" t="s">
        <v>58</v>
      </c>
    </row>
    <row x14ac:dyDescent="0.25" r="3" customHeight="1" ht="18.75">
      <c r="A3" s="6">
        <v>2</v>
      </c>
      <c r="B3" s="6">
        <v>112234</v>
      </c>
      <c r="C3" s="7" t="s">
        <v>59</v>
      </c>
      <c r="D3" s="7" t="s">
        <v>60</v>
      </c>
      <c r="E3" s="7" t="s">
        <v>61</v>
      </c>
      <c r="F3" s="7" t="s">
        <v>62</v>
      </c>
      <c r="G3" s="8">
        <v>38839</v>
      </c>
      <c r="H3" s="9">
        <f>"ABC-"&amp;B3</f>
      </c>
      <c r="I3" s="7" t="s">
        <v>50</v>
      </c>
      <c r="J3" s="10">
        <v>43952</v>
      </c>
      <c r="K3" s="11" t="s">
        <v>51</v>
      </c>
      <c r="L3" s="6">
        <v>1</v>
      </c>
      <c r="M3" s="7" t="s">
        <v>52</v>
      </c>
      <c r="N3" s="6">
        <v>14</v>
      </c>
      <c r="O3" s="6">
        <v>11</v>
      </c>
      <c r="P3" s="6">
        <v>18</v>
      </c>
      <c r="Q3" s="6">
        <v>20</v>
      </c>
      <c r="R3" s="7" t="s">
        <v>53</v>
      </c>
      <c r="S3" s="6">
        <v>39</v>
      </c>
      <c r="T3" s="6">
        <v>8</v>
      </c>
      <c r="U3" s="6">
        <v>22</v>
      </c>
      <c r="V3" s="6">
        <v>18</v>
      </c>
      <c r="W3" s="7" t="s">
        <v>54</v>
      </c>
      <c r="X3" s="6">
        <v>58</v>
      </c>
      <c r="Y3" s="6">
        <v>15</v>
      </c>
      <c r="Z3" s="6">
        <v>22</v>
      </c>
      <c r="AA3" s="6">
        <v>10</v>
      </c>
      <c r="AB3" s="7" t="s">
        <v>55</v>
      </c>
      <c r="AC3" s="6">
        <v>52</v>
      </c>
      <c r="AD3" s="6">
        <v>15</v>
      </c>
      <c r="AE3" s="6">
        <v>20</v>
      </c>
      <c r="AF3" s="6">
        <v>15</v>
      </c>
      <c r="AG3" s="7" t="s">
        <v>56</v>
      </c>
      <c r="AH3" s="6">
        <v>58</v>
      </c>
      <c r="AI3" s="6">
        <v>15</v>
      </c>
      <c r="AJ3" s="6">
        <v>22</v>
      </c>
      <c r="AK3" s="6">
        <v>10</v>
      </c>
      <c r="AL3" s="7" t="s">
        <v>57</v>
      </c>
      <c r="AM3" s="6">
        <v>58</v>
      </c>
      <c r="AN3" s="6">
        <v>15</v>
      </c>
      <c r="AO3" s="6">
        <v>22</v>
      </c>
      <c r="AP3" s="6">
        <v>10</v>
      </c>
      <c r="AQ3" s="6">
        <v>750</v>
      </c>
      <c r="AR3" s="6">
        <f>SUM(N3:AP3)</f>
      </c>
      <c r="AS3" s="12">
        <f>AR3/AQ3*100</f>
      </c>
      <c r="AT3" s="7" t="s">
        <v>58</v>
      </c>
    </row>
    <row x14ac:dyDescent="0.25" r="4" customHeight="1" ht="18.75">
      <c r="A4" s="6">
        <v>3</v>
      </c>
      <c r="B4" s="6">
        <v>112235</v>
      </c>
      <c r="C4" s="7" t="s">
        <v>63</v>
      </c>
      <c r="D4" s="7" t="s">
        <v>64</v>
      </c>
      <c r="E4" s="7" t="s">
        <v>65</v>
      </c>
      <c r="F4" s="7" t="s">
        <v>66</v>
      </c>
      <c r="G4" s="8">
        <v>38840</v>
      </c>
      <c r="H4" s="9">
        <f>"ABC-"&amp;B4</f>
      </c>
      <c r="I4" s="7" t="s">
        <v>50</v>
      </c>
      <c r="J4" s="10">
        <v>43952</v>
      </c>
      <c r="K4" s="11" t="s">
        <v>51</v>
      </c>
      <c r="L4" s="6">
        <v>1</v>
      </c>
      <c r="M4" s="7" t="s">
        <v>52</v>
      </c>
      <c r="N4" s="6">
        <v>32</v>
      </c>
      <c r="O4" s="6">
        <v>20</v>
      </c>
      <c r="P4" s="6">
        <v>15</v>
      </c>
      <c r="Q4" s="6">
        <v>23</v>
      </c>
      <c r="R4" s="7" t="s">
        <v>53</v>
      </c>
      <c r="S4" s="6">
        <v>52</v>
      </c>
      <c r="T4" s="6">
        <v>15</v>
      </c>
      <c r="U4" s="6">
        <v>20</v>
      </c>
      <c r="V4" s="6">
        <v>15</v>
      </c>
      <c r="W4" s="7" t="s">
        <v>54</v>
      </c>
      <c r="X4" s="6">
        <v>42</v>
      </c>
      <c r="Y4" s="6">
        <v>14</v>
      </c>
      <c r="Z4" s="6">
        <v>22</v>
      </c>
      <c r="AA4" s="6">
        <v>22</v>
      </c>
      <c r="AB4" s="7" t="s">
        <v>55</v>
      </c>
      <c r="AC4" s="6">
        <v>73</v>
      </c>
      <c r="AD4" s="6">
        <v>18</v>
      </c>
      <c r="AE4" s="6">
        <v>10</v>
      </c>
      <c r="AF4" s="6">
        <v>23</v>
      </c>
      <c r="AG4" s="7" t="s">
        <v>56</v>
      </c>
      <c r="AH4" s="6">
        <v>42</v>
      </c>
      <c r="AI4" s="6">
        <v>14</v>
      </c>
      <c r="AJ4" s="6">
        <v>22</v>
      </c>
      <c r="AK4" s="6">
        <v>22</v>
      </c>
      <c r="AL4" s="7" t="s">
        <v>57</v>
      </c>
      <c r="AM4" s="6">
        <v>73</v>
      </c>
      <c r="AN4" s="6">
        <v>18</v>
      </c>
      <c r="AO4" s="6">
        <v>10</v>
      </c>
      <c r="AP4" s="6">
        <v>23</v>
      </c>
      <c r="AQ4" s="6">
        <v>750</v>
      </c>
      <c r="AR4" s="6">
        <f>SUM(N4:AP4)</f>
      </c>
      <c r="AS4" s="12">
        <f>AR4/AQ4*100</f>
      </c>
      <c r="AT4" s="7" t="s">
        <v>58</v>
      </c>
    </row>
    <row x14ac:dyDescent="0.25" r="5" customHeight="1" ht="18.75">
      <c r="A5" s="6">
        <v>4</v>
      </c>
      <c r="B5" s="6">
        <v>112236</v>
      </c>
      <c r="C5" s="7" t="s">
        <v>67</v>
      </c>
      <c r="D5" s="7" t="s">
        <v>68</v>
      </c>
      <c r="E5" s="7" t="s">
        <v>69</v>
      </c>
      <c r="F5" s="7" t="s">
        <v>70</v>
      </c>
      <c r="G5" s="8">
        <v>38841</v>
      </c>
      <c r="H5" s="9">
        <f>"ABC-"&amp;B5</f>
      </c>
      <c r="I5" s="7" t="s">
        <v>50</v>
      </c>
      <c r="J5" s="10">
        <v>43952</v>
      </c>
      <c r="K5" s="11" t="s">
        <v>51</v>
      </c>
      <c r="L5" s="6">
        <v>1</v>
      </c>
      <c r="M5" s="7" t="s">
        <v>52</v>
      </c>
      <c r="N5" s="6">
        <v>54</v>
      </c>
      <c r="O5" s="6">
        <v>16</v>
      </c>
      <c r="P5" s="6">
        <v>23</v>
      </c>
      <c r="Q5" s="6">
        <v>22</v>
      </c>
      <c r="R5" s="7" t="s">
        <v>53</v>
      </c>
      <c r="S5" s="6">
        <v>73</v>
      </c>
      <c r="T5" s="6">
        <v>18</v>
      </c>
      <c r="U5" s="6">
        <v>10</v>
      </c>
      <c r="V5" s="6">
        <v>23</v>
      </c>
      <c r="W5" s="7" t="s">
        <v>54</v>
      </c>
      <c r="X5" s="6">
        <v>32</v>
      </c>
      <c r="Y5" s="6">
        <v>14</v>
      </c>
      <c r="Z5" s="6">
        <v>20</v>
      </c>
      <c r="AA5" s="6">
        <v>22</v>
      </c>
      <c r="AB5" s="7" t="s">
        <v>55</v>
      </c>
      <c r="AC5" s="6">
        <v>32</v>
      </c>
      <c r="AD5" s="6">
        <v>14</v>
      </c>
      <c r="AE5" s="6">
        <v>20</v>
      </c>
      <c r="AF5" s="6">
        <v>22</v>
      </c>
      <c r="AG5" s="7" t="s">
        <v>56</v>
      </c>
      <c r="AH5" s="6">
        <v>52</v>
      </c>
      <c r="AI5" s="6">
        <v>15</v>
      </c>
      <c r="AJ5" s="6">
        <v>20</v>
      </c>
      <c r="AK5" s="6">
        <v>15</v>
      </c>
      <c r="AL5" s="7" t="s">
        <v>57</v>
      </c>
      <c r="AM5" s="6">
        <v>32</v>
      </c>
      <c r="AN5" s="6">
        <v>14</v>
      </c>
      <c r="AO5" s="6">
        <v>20</v>
      </c>
      <c r="AP5" s="6">
        <v>22</v>
      </c>
      <c r="AQ5" s="6">
        <v>750</v>
      </c>
      <c r="AR5" s="6">
        <f>SUM(N5:AP5)</f>
      </c>
      <c r="AS5" s="12">
        <f>AR5/AQ5*100</f>
      </c>
      <c r="AT5" s="7" t="s">
        <v>58</v>
      </c>
    </row>
    <row x14ac:dyDescent="0.25" r="6" customHeight="1" ht="18.75">
      <c r="A6" s="6">
        <v>5</v>
      </c>
      <c r="B6" s="6">
        <v>112237</v>
      </c>
      <c r="C6" s="7" t="s">
        <v>71</v>
      </c>
      <c r="D6" s="7" t="s">
        <v>72</v>
      </c>
      <c r="E6" s="7" t="s">
        <v>73</v>
      </c>
      <c r="F6" s="7" t="s">
        <v>74</v>
      </c>
      <c r="G6" s="8">
        <v>38842</v>
      </c>
      <c r="H6" s="9">
        <f>"ABC-"&amp;B6</f>
      </c>
      <c r="I6" s="7" t="s">
        <v>50</v>
      </c>
      <c r="J6" s="10">
        <v>43952</v>
      </c>
      <c r="K6" s="11" t="s">
        <v>51</v>
      </c>
      <c r="L6" s="6">
        <v>1</v>
      </c>
      <c r="M6" s="7" t="s">
        <v>52</v>
      </c>
      <c r="N6" s="6">
        <v>16</v>
      </c>
      <c r="O6" s="6">
        <v>12</v>
      </c>
      <c r="P6" s="6">
        <v>10</v>
      </c>
      <c r="Q6" s="6">
        <v>19</v>
      </c>
      <c r="R6" s="7" t="s">
        <v>53</v>
      </c>
      <c r="S6" s="6">
        <v>58</v>
      </c>
      <c r="T6" s="6">
        <v>15</v>
      </c>
      <c r="U6" s="6">
        <v>22</v>
      </c>
      <c r="V6" s="6">
        <v>10</v>
      </c>
      <c r="W6" s="7" t="s">
        <v>54</v>
      </c>
      <c r="X6" s="6">
        <v>35</v>
      </c>
      <c r="Y6" s="6">
        <v>12</v>
      </c>
      <c r="Z6" s="6">
        <v>15</v>
      </c>
      <c r="AA6" s="6">
        <v>20</v>
      </c>
      <c r="AB6" s="7" t="s">
        <v>55</v>
      </c>
      <c r="AC6" s="6">
        <v>35</v>
      </c>
      <c r="AD6" s="6">
        <v>12</v>
      </c>
      <c r="AE6" s="6">
        <v>15</v>
      </c>
      <c r="AF6" s="6">
        <v>20</v>
      </c>
      <c r="AG6" s="7" t="s">
        <v>56</v>
      </c>
      <c r="AH6" s="6">
        <v>58</v>
      </c>
      <c r="AI6" s="6">
        <v>15</v>
      </c>
      <c r="AJ6" s="6">
        <v>22</v>
      </c>
      <c r="AK6" s="6">
        <v>10</v>
      </c>
      <c r="AL6" s="7" t="s">
        <v>57</v>
      </c>
      <c r="AM6" s="6">
        <v>35</v>
      </c>
      <c r="AN6" s="6">
        <v>12</v>
      </c>
      <c r="AO6" s="6">
        <v>15</v>
      </c>
      <c r="AP6" s="6">
        <v>20</v>
      </c>
      <c r="AQ6" s="6">
        <v>750</v>
      </c>
      <c r="AR6" s="6">
        <f>SUM(N6:AP6)</f>
      </c>
      <c r="AS6" s="12">
        <f>AR6/AQ6*100</f>
      </c>
      <c r="AT6" s="7" t="s">
        <v>58</v>
      </c>
    </row>
    <row x14ac:dyDescent="0.25" r="7" customHeight="1" ht="18.75">
      <c r="A7" s="6">
        <v>6</v>
      </c>
      <c r="B7" s="6">
        <v>112238</v>
      </c>
      <c r="C7" s="7" t="s">
        <v>75</v>
      </c>
      <c r="D7" s="7" t="s">
        <v>76</v>
      </c>
      <c r="E7" s="7" t="s">
        <v>77</v>
      </c>
      <c r="F7" s="7" t="s">
        <v>78</v>
      </c>
      <c r="G7" s="8">
        <v>38843</v>
      </c>
      <c r="H7" s="9">
        <f>"ABC-"&amp;B7</f>
      </c>
      <c r="I7" s="7" t="s">
        <v>50</v>
      </c>
      <c r="J7" s="10">
        <v>43952</v>
      </c>
      <c r="K7" s="11" t="s">
        <v>51</v>
      </c>
      <c r="L7" s="6">
        <v>1</v>
      </c>
      <c r="M7" s="7" t="s">
        <v>52</v>
      </c>
      <c r="N7" s="6">
        <v>68</v>
      </c>
      <c r="O7" s="6">
        <v>17</v>
      </c>
      <c r="P7" s="6">
        <v>22</v>
      </c>
      <c r="Q7" s="6">
        <v>24</v>
      </c>
      <c r="R7" s="7" t="s">
        <v>53</v>
      </c>
      <c r="S7" s="6">
        <v>42</v>
      </c>
      <c r="T7" s="6">
        <v>14</v>
      </c>
      <c r="U7" s="6">
        <v>22</v>
      </c>
      <c r="V7" s="6">
        <v>22</v>
      </c>
      <c r="W7" s="7" t="s">
        <v>54</v>
      </c>
      <c r="X7" s="6">
        <v>52</v>
      </c>
      <c r="Y7" s="6">
        <v>15</v>
      </c>
      <c r="Z7" s="6">
        <v>20</v>
      </c>
      <c r="AA7" s="6">
        <v>15</v>
      </c>
      <c r="AB7" s="7" t="s">
        <v>55</v>
      </c>
      <c r="AC7" s="6">
        <v>52</v>
      </c>
      <c r="AD7" s="6">
        <v>15</v>
      </c>
      <c r="AE7" s="6">
        <v>20</v>
      </c>
      <c r="AF7" s="6">
        <v>15</v>
      </c>
      <c r="AG7" s="7" t="s">
        <v>56</v>
      </c>
      <c r="AH7" s="6">
        <v>73</v>
      </c>
      <c r="AI7" s="6">
        <v>18</v>
      </c>
      <c r="AJ7" s="6">
        <v>10</v>
      </c>
      <c r="AK7" s="6">
        <v>23</v>
      </c>
      <c r="AL7" s="7" t="s">
        <v>57</v>
      </c>
      <c r="AM7" s="6">
        <v>58</v>
      </c>
      <c r="AN7" s="6">
        <v>15</v>
      </c>
      <c r="AO7" s="6">
        <v>22</v>
      </c>
      <c r="AP7" s="6">
        <v>10</v>
      </c>
      <c r="AQ7" s="6">
        <v>750</v>
      </c>
      <c r="AR7" s="6">
        <f>SUM(N7:AP7)</f>
      </c>
      <c r="AS7" s="12">
        <f>AR7/AQ7*100</f>
      </c>
      <c r="AT7" s="7" t="s">
        <v>58</v>
      </c>
    </row>
    <row x14ac:dyDescent="0.25" r="8" customHeight="1" ht="18.75">
      <c r="A8" s="6">
        <v>7</v>
      </c>
      <c r="B8" s="6">
        <v>112239</v>
      </c>
      <c r="C8" s="7" t="s">
        <v>79</v>
      </c>
      <c r="D8" s="7" t="s">
        <v>80</v>
      </c>
      <c r="E8" s="7" t="s">
        <v>81</v>
      </c>
      <c r="F8" s="7" t="s">
        <v>82</v>
      </c>
      <c r="G8" s="8">
        <v>38844</v>
      </c>
      <c r="H8" s="9">
        <f>"ABC-"&amp;B8</f>
      </c>
      <c r="I8" s="7" t="s">
        <v>50</v>
      </c>
      <c r="J8" s="10">
        <v>43952</v>
      </c>
      <c r="K8" s="11" t="s">
        <v>51</v>
      </c>
      <c r="L8" s="6">
        <v>1</v>
      </c>
      <c r="M8" s="7" t="s">
        <v>52</v>
      </c>
      <c r="N8" s="6">
        <v>39</v>
      </c>
      <c r="O8" s="6">
        <v>8</v>
      </c>
      <c r="P8" s="6">
        <v>22</v>
      </c>
      <c r="Q8" s="6">
        <v>18</v>
      </c>
      <c r="R8" s="7" t="s">
        <v>53</v>
      </c>
      <c r="S8" s="6">
        <v>32</v>
      </c>
      <c r="T8" s="6">
        <v>14</v>
      </c>
      <c r="U8" s="6">
        <v>20</v>
      </c>
      <c r="V8" s="6">
        <v>22</v>
      </c>
      <c r="W8" s="7" t="s">
        <v>54</v>
      </c>
      <c r="X8" s="6">
        <v>73</v>
      </c>
      <c r="Y8" s="6">
        <v>18</v>
      </c>
      <c r="Z8" s="6">
        <v>10</v>
      </c>
      <c r="AA8" s="6">
        <v>23</v>
      </c>
      <c r="AB8" s="7" t="s">
        <v>55</v>
      </c>
      <c r="AC8" s="6">
        <v>58</v>
      </c>
      <c r="AD8" s="6">
        <v>15</v>
      </c>
      <c r="AE8" s="6">
        <v>22</v>
      </c>
      <c r="AF8" s="6">
        <v>10</v>
      </c>
      <c r="AG8" s="7" t="s">
        <v>56</v>
      </c>
      <c r="AH8" s="6">
        <v>32</v>
      </c>
      <c r="AI8" s="6">
        <v>14</v>
      </c>
      <c r="AJ8" s="6">
        <v>20</v>
      </c>
      <c r="AK8" s="6">
        <v>22</v>
      </c>
      <c r="AL8" s="7" t="s">
        <v>57</v>
      </c>
      <c r="AM8" s="6">
        <v>73</v>
      </c>
      <c r="AN8" s="6">
        <v>18</v>
      </c>
      <c r="AO8" s="6">
        <v>10</v>
      </c>
      <c r="AP8" s="6">
        <v>23</v>
      </c>
      <c r="AQ8" s="6">
        <v>750</v>
      </c>
      <c r="AR8" s="6">
        <f>SUM(N8:AP8)</f>
      </c>
      <c r="AS8" s="12">
        <f>AR8/AQ8*100</f>
      </c>
      <c r="AT8" s="7" t="s">
        <v>58</v>
      </c>
    </row>
    <row x14ac:dyDescent="0.25" r="9" customHeight="1" ht="18.75">
      <c r="A9" s="6">
        <v>8</v>
      </c>
      <c r="B9" s="6">
        <v>112240</v>
      </c>
      <c r="C9" s="7" t="s">
        <v>83</v>
      </c>
      <c r="D9" s="7" t="s">
        <v>84</v>
      </c>
      <c r="E9" s="7" t="s">
        <v>85</v>
      </c>
      <c r="F9" s="7" t="s">
        <v>86</v>
      </c>
      <c r="G9" s="8">
        <v>38845</v>
      </c>
      <c r="H9" s="9">
        <f>"ABC-"&amp;B9</f>
      </c>
      <c r="I9" s="7" t="s">
        <v>50</v>
      </c>
      <c r="J9" s="10">
        <v>43952</v>
      </c>
      <c r="K9" s="11" t="s">
        <v>51</v>
      </c>
      <c r="L9" s="6">
        <v>1</v>
      </c>
      <c r="M9" s="7" t="s">
        <v>52</v>
      </c>
      <c r="N9" s="6">
        <v>52</v>
      </c>
      <c r="O9" s="6">
        <v>15</v>
      </c>
      <c r="P9" s="6">
        <v>20</v>
      </c>
      <c r="Q9" s="6">
        <v>15</v>
      </c>
      <c r="R9" s="7" t="s">
        <v>53</v>
      </c>
      <c r="S9" s="6">
        <v>35</v>
      </c>
      <c r="T9" s="6">
        <v>12</v>
      </c>
      <c r="U9" s="6">
        <v>15</v>
      </c>
      <c r="V9" s="6">
        <v>20</v>
      </c>
      <c r="W9" s="7" t="s">
        <v>54</v>
      </c>
      <c r="X9" s="6">
        <v>32</v>
      </c>
      <c r="Y9" s="6">
        <v>14</v>
      </c>
      <c r="Z9" s="6">
        <v>20</v>
      </c>
      <c r="AA9" s="6">
        <v>22</v>
      </c>
      <c r="AB9" s="7" t="s">
        <v>55</v>
      </c>
      <c r="AC9" s="6">
        <v>42</v>
      </c>
      <c r="AD9" s="6">
        <v>14</v>
      </c>
      <c r="AE9" s="6">
        <v>22</v>
      </c>
      <c r="AF9" s="6">
        <v>22</v>
      </c>
      <c r="AG9" s="7" t="s">
        <v>56</v>
      </c>
      <c r="AH9" s="6">
        <v>35</v>
      </c>
      <c r="AI9" s="6">
        <v>12</v>
      </c>
      <c r="AJ9" s="6">
        <v>15</v>
      </c>
      <c r="AK9" s="6">
        <v>20</v>
      </c>
      <c r="AL9" s="7" t="s">
        <v>57</v>
      </c>
      <c r="AM9" s="6">
        <v>32</v>
      </c>
      <c r="AN9" s="6">
        <v>14</v>
      </c>
      <c r="AO9" s="6">
        <v>20</v>
      </c>
      <c r="AP9" s="6">
        <v>22</v>
      </c>
      <c r="AQ9" s="6">
        <v>750</v>
      </c>
      <c r="AR9" s="6">
        <f>SUM(N9:AP9)</f>
      </c>
      <c r="AS9" s="12">
        <f>AR9/AQ9*100</f>
      </c>
      <c r="AT9" s="7" t="s">
        <v>58</v>
      </c>
    </row>
    <row x14ac:dyDescent="0.25" r="10" customHeight="1" ht="18.75">
      <c r="A10" s="6">
        <v>9</v>
      </c>
      <c r="B10" s="6">
        <v>112241</v>
      </c>
      <c r="C10" s="7" t="s">
        <v>87</v>
      </c>
      <c r="D10" s="7" t="s">
        <v>88</v>
      </c>
      <c r="E10" s="7" t="s">
        <v>89</v>
      </c>
      <c r="F10" s="7" t="s">
        <v>90</v>
      </c>
      <c r="G10" s="8">
        <v>38846</v>
      </c>
      <c r="H10" s="9">
        <f>"ABC-"&amp;B10</f>
      </c>
      <c r="I10" s="7" t="s">
        <v>50</v>
      </c>
      <c r="J10" s="10">
        <v>43952</v>
      </c>
      <c r="K10" s="11" t="s">
        <v>51</v>
      </c>
      <c r="L10" s="6">
        <v>1</v>
      </c>
      <c r="M10" s="7" t="s">
        <v>52</v>
      </c>
      <c r="N10" s="6">
        <v>73</v>
      </c>
      <c r="O10" s="6">
        <v>18</v>
      </c>
      <c r="P10" s="6">
        <v>10</v>
      </c>
      <c r="Q10" s="6">
        <v>23</v>
      </c>
      <c r="R10" s="7" t="s">
        <v>53</v>
      </c>
      <c r="S10" s="6">
        <v>52</v>
      </c>
      <c r="T10" s="6">
        <v>15</v>
      </c>
      <c r="U10" s="6">
        <v>20</v>
      </c>
      <c r="V10" s="6">
        <v>15</v>
      </c>
      <c r="W10" s="7" t="s">
        <v>54</v>
      </c>
      <c r="X10" s="6">
        <v>35</v>
      </c>
      <c r="Y10" s="6">
        <v>12</v>
      </c>
      <c r="Z10" s="6">
        <v>15</v>
      </c>
      <c r="AA10" s="6">
        <v>20</v>
      </c>
      <c r="AB10" s="7" t="s">
        <v>55</v>
      </c>
      <c r="AC10" s="6">
        <v>52</v>
      </c>
      <c r="AD10" s="6">
        <v>15</v>
      </c>
      <c r="AE10" s="6">
        <v>20</v>
      </c>
      <c r="AF10" s="6">
        <v>15</v>
      </c>
      <c r="AG10" s="7" t="s">
        <v>56</v>
      </c>
      <c r="AH10" s="6">
        <v>52</v>
      </c>
      <c r="AI10" s="6">
        <v>15</v>
      </c>
      <c r="AJ10" s="6">
        <v>20</v>
      </c>
      <c r="AK10" s="6">
        <v>15</v>
      </c>
      <c r="AL10" s="7" t="s">
        <v>57</v>
      </c>
      <c r="AM10" s="6">
        <v>35</v>
      </c>
      <c r="AN10" s="6">
        <v>12</v>
      </c>
      <c r="AO10" s="6">
        <v>15</v>
      </c>
      <c r="AP10" s="6">
        <v>20</v>
      </c>
      <c r="AQ10" s="6">
        <v>750</v>
      </c>
      <c r="AR10" s="6">
        <f>SUM(N10:AP10)</f>
      </c>
      <c r="AS10" s="12">
        <f>AR10/AQ10*100</f>
      </c>
      <c r="AT10" s="7" t="s">
        <v>58</v>
      </c>
    </row>
    <row x14ac:dyDescent="0.25" r="11" customHeight="1" ht="18.75">
      <c r="A11" s="6">
        <v>10</v>
      </c>
      <c r="B11" s="6">
        <v>112242</v>
      </c>
      <c r="C11" s="7" t="s">
        <v>91</v>
      </c>
      <c r="D11" s="7" t="s">
        <v>92</v>
      </c>
      <c r="E11" s="7" t="s">
        <v>93</v>
      </c>
      <c r="F11" s="7" t="s">
        <v>94</v>
      </c>
      <c r="G11" s="8">
        <v>38847</v>
      </c>
      <c r="H11" s="9">
        <f>"ABC-"&amp;B11</f>
      </c>
      <c r="I11" s="7" t="s">
        <v>50</v>
      </c>
      <c r="J11" s="10">
        <v>43952</v>
      </c>
      <c r="K11" s="11" t="s">
        <v>51</v>
      </c>
      <c r="L11" s="6">
        <v>1</v>
      </c>
      <c r="M11" s="7" t="s">
        <v>52</v>
      </c>
      <c r="N11" s="6">
        <v>58</v>
      </c>
      <c r="O11" s="6">
        <v>15</v>
      </c>
      <c r="P11" s="6">
        <v>22</v>
      </c>
      <c r="Q11" s="6">
        <v>10</v>
      </c>
      <c r="R11" s="7" t="s">
        <v>53</v>
      </c>
      <c r="S11" s="6">
        <v>73</v>
      </c>
      <c r="T11" s="6">
        <v>18</v>
      </c>
      <c r="U11" s="6">
        <v>10</v>
      </c>
      <c r="V11" s="6">
        <v>23</v>
      </c>
      <c r="W11" s="7" t="s">
        <v>54</v>
      </c>
      <c r="X11" s="6">
        <v>52</v>
      </c>
      <c r="Y11" s="6">
        <v>15</v>
      </c>
      <c r="Z11" s="6">
        <v>20</v>
      </c>
      <c r="AA11" s="6">
        <v>15</v>
      </c>
      <c r="AB11" s="7" t="s">
        <v>55</v>
      </c>
      <c r="AC11" s="6">
        <v>58</v>
      </c>
      <c r="AD11" s="6">
        <v>15</v>
      </c>
      <c r="AE11" s="6">
        <v>22</v>
      </c>
      <c r="AF11" s="6">
        <v>10</v>
      </c>
      <c r="AG11" s="7" t="s">
        <v>56</v>
      </c>
      <c r="AH11" s="6">
        <v>58</v>
      </c>
      <c r="AI11" s="6">
        <v>15</v>
      </c>
      <c r="AJ11" s="6">
        <v>22</v>
      </c>
      <c r="AK11" s="6">
        <v>10</v>
      </c>
      <c r="AL11" s="7" t="s">
        <v>57</v>
      </c>
      <c r="AM11" s="6">
        <v>58</v>
      </c>
      <c r="AN11" s="6">
        <v>15</v>
      </c>
      <c r="AO11" s="6">
        <v>22</v>
      </c>
      <c r="AP11" s="6">
        <v>10</v>
      </c>
      <c r="AQ11" s="6">
        <v>750</v>
      </c>
      <c r="AR11" s="6">
        <f>SUM(N11:AP11)</f>
      </c>
      <c r="AS11" s="12">
        <f>AR11/AQ11*100</f>
      </c>
      <c r="AT11" s="7" t="s">
        <v>58</v>
      </c>
    </row>
    <row x14ac:dyDescent="0.25" r="12" customHeight="1" ht="18.75">
      <c r="A12" s="6">
        <v>11</v>
      </c>
      <c r="B12" s="6">
        <v>112243</v>
      </c>
      <c r="C12" s="7" t="s">
        <v>95</v>
      </c>
      <c r="D12" s="7" t="s">
        <v>96</v>
      </c>
      <c r="E12" s="7" t="s">
        <v>97</v>
      </c>
      <c r="F12" s="7" t="s">
        <v>98</v>
      </c>
      <c r="G12" s="8">
        <v>38848</v>
      </c>
      <c r="H12" s="9">
        <f>"ABC-"&amp;B12</f>
      </c>
      <c r="I12" s="7" t="s">
        <v>50</v>
      </c>
      <c r="J12" s="10">
        <v>43952</v>
      </c>
      <c r="K12" s="11" t="s">
        <v>51</v>
      </c>
      <c r="L12" s="6">
        <v>1</v>
      </c>
      <c r="M12" s="7" t="s">
        <v>52</v>
      </c>
      <c r="N12" s="6">
        <v>42</v>
      </c>
      <c r="O12" s="6">
        <v>14</v>
      </c>
      <c r="P12" s="6">
        <v>22</v>
      </c>
      <c r="Q12" s="6">
        <v>22</v>
      </c>
      <c r="R12" s="7" t="s">
        <v>53</v>
      </c>
      <c r="S12" s="6">
        <v>58</v>
      </c>
      <c r="T12" s="6">
        <v>15</v>
      </c>
      <c r="U12" s="6">
        <v>22</v>
      </c>
      <c r="V12" s="6">
        <v>10</v>
      </c>
      <c r="W12" s="7" t="s">
        <v>54</v>
      </c>
      <c r="X12" s="6">
        <v>58</v>
      </c>
      <c r="Y12" s="6">
        <v>15</v>
      </c>
      <c r="Z12" s="6">
        <v>22</v>
      </c>
      <c r="AA12" s="6">
        <v>10</v>
      </c>
      <c r="AB12" s="7" t="s">
        <v>55</v>
      </c>
      <c r="AC12" s="6">
        <v>73</v>
      </c>
      <c r="AD12" s="6">
        <v>18</v>
      </c>
      <c r="AE12" s="6">
        <v>10</v>
      </c>
      <c r="AF12" s="6">
        <v>23</v>
      </c>
      <c r="AG12" s="7" t="s">
        <v>56</v>
      </c>
      <c r="AH12" s="6">
        <v>58</v>
      </c>
      <c r="AI12" s="6">
        <v>15</v>
      </c>
      <c r="AJ12" s="6">
        <v>22</v>
      </c>
      <c r="AK12" s="6">
        <v>10</v>
      </c>
      <c r="AL12" s="7" t="s">
        <v>57</v>
      </c>
      <c r="AM12" s="6">
        <v>73</v>
      </c>
      <c r="AN12" s="6">
        <v>18</v>
      </c>
      <c r="AO12" s="6">
        <v>10</v>
      </c>
      <c r="AP12" s="6">
        <v>23</v>
      </c>
      <c r="AQ12" s="6">
        <v>750</v>
      </c>
      <c r="AR12" s="6">
        <f>SUM(N12:AP12)</f>
      </c>
      <c r="AS12" s="12">
        <f>AR12/AQ12*100</f>
      </c>
      <c r="AT12" s="7" t="s">
        <v>58</v>
      </c>
    </row>
    <row x14ac:dyDescent="0.25" r="13" customHeight="1" ht="18.75">
      <c r="A13" s="6">
        <v>12</v>
      </c>
      <c r="B13" s="6">
        <v>112244</v>
      </c>
      <c r="C13" s="7" t="s">
        <v>99</v>
      </c>
      <c r="D13" s="7" t="s">
        <v>100</v>
      </c>
      <c r="E13" s="7" t="s">
        <v>101</v>
      </c>
      <c r="F13" s="7" t="s">
        <v>102</v>
      </c>
      <c r="G13" s="8">
        <v>38849</v>
      </c>
      <c r="H13" s="9">
        <f>"ABC-"&amp;B13</f>
      </c>
      <c r="I13" s="7" t="s">
        <v>50</v>
      </c>
      <c r="J13" s="10">
        <v>43952</v>
      </c>
      <c r="K13" s="11" t="s">
        <v>51</v>
      </c>
      <c r="L13" s="6">
        <v>1</v>
      </c>
      <c r="M13" s="7" t="s">
        <v>52</v>
      </c>
      <c r="N13" s="6">
        <v>32</v>
      </c>
      <c r="O13" s="6">
        <v>14</v>
      </c>
      <c r="P13" s="6">
        <v>20</v>
      </c>
      <c r="Q13" s="6">
        <v>22</v>
      </c>
      <c r="R13" s="7" t="s">
        <v>53</v>
      </c>
      <c r="S13" s="6">
        <v>42</v>
      </c>
      <c r="T13" s="6">
        <v>14</v>
      </c>
      <c r="U13" s="6">
        <v>22</v>
      </c>
      <c r="V13" s="6">
        <v>22</v>
      </c>
      <c r="W13" s="7" t="s">
        <v>54</v>
      </c>
      <c r="X13" s="6">
        <v>42</v>
      </c>
      <c r="Y13" s="6">
        <v>14</v>
      </c>
      <c r="Z13" s="6">
        <v>22</v>
      </c>
      <c r="AA13" s="6">
        <v>22</v>
      </c>
      <c r="AB13" s="7" t="s">
        <v>55</v>
      </c>
      <c r="AC13" s="6">
        <v>32</v>
      </c>
      <c r="AD13" s="6">
        <v>14</v>
      </c>
      <c r="AE13" s="6">
        <v>20</v>
      </c>
      <c r="AF13" s="6">
        <v>22</v>
      </c>
      <c r="AG13" s="7" t="s">
        <v>56</v>
      </c>
      <c r="AH13" s="6">
        <v>73</v>
      </c>
      <c r="AI13" s="6">
        <v>18</v>
      </c>
      <c r="AJ13" s="6">
        <v>10</v>
      </c>
      <c r="AK13" s="6">
        <v>23</v>
      </c>
      <c r="AL13" s="7" t="s">
        <v>57</v>
      </c>
      <c r="AM13" s="6">
        <v>32</v>
      </c>
      <c r="AN13" s="6">
        <v>14</v>
      </c>
      <c r="AO13" s="6">
        <v>20</v>
      </c>
      <c r="AP13" s="6">
        <v>22</v>
      </c>
      <c r="AQ13" s="6">
        <v>750</v>
      </c>
      <c r="AR13" s="6">
        <f>SUM(N13:AP13)</f>
      </c>
      <c r="AS13" s="12">
        <f>AR13/AQ13*100</f>
      </c>
      <c r="AT13" s="7" t="s">
        <v>58</v>
      </c>
    </row>
    <row x14ac:dyDescent="0.25" r="14" customHeight="1" ht="18.75">
      <c r="A14" s="6">
        <v>13</v>
      </c>
      <c r="B14" s="6">
        <v>112245</v>
      </c>
      <c r="C14" s="7" t="s">
        <v>103</v>
      </c>
      <c r="D14" s="7" t="s">
        <v>104</v>
      </c>
      <c r="E14" s="7" t="s">
        <v>105</v>
      </c>
      <c r="F14" s="7" t="s">
        <v>106</v>
      </c>
      <c r="G14" s="8">
        <v>38850</v>
      </c>
      <c r="H14" s="9">
        <f>"ABC-"&amp;B14</f>
      </c>
      <c r="I14" s="7" t="s">
        <v>50</v>
      </c>
      <c r="J14" s="10">
        <v>43952</v>
      </c>
      <c r="K14" s="11" t="s">
        <v>51</v>
      </c>
      <c r="L14" s="6">
        <v>1</v>
      </c>
      <c r="M14" s="7" t="s">
        <v>52</v>
      </c>
      <c r="N14" s="6">
        <v>35</v>
      </c>
      <c r="O14" s="6">
        <v>12</v>
      </c>
      <c r="P14" s="6">
        <v>15</v>
      </c>
      <c r="Q14" s="6">
        <v>20</v>
      </c>
      <c r="R14" s="7" t="s">
        <v>53</v>
      </c>
      <c r="S14" s="6">
        <v>73</v>
      </c>
      <c r="T14" s="6">
        <v>18</v>
      </c>
      <c r="U14" s="6">
        <v>10</v>
      </c>
      <c r="V14" s="6">
        <v>23</v>
      </c>
      <c r="W14" s="7" t="s">
        <v>54</v>
      </c>
      <c r="X14" s="6">
        <v>32</v>
      </c>
      <c r="Y14" s="6">
        <v>14</v>
      </c>
      <c r="Z14" s="6">
        <v>20</v>
      </c>
      <c r="AA14" s="6">
        <v>22</v>
      </c>
      <c r="AB14" s="7" t="s">
        <v>55</v>
      </c>
      <c r="AC14" s="6">
        <v>35</v>
      </c>
      <c r="AD14" s="6">
        <v>12</v>
      </c>
      <c r="AE14" s="6">
        <v>15</v>
      </c>
      <c r="AF14" s="6">
        <v>20</v>
      </c>
      <c r="AG14" s="7" t="s">
        <v>56</v>
      </c>
      <c r="AH14" s="6">
        <v>32</v>
      </c>
      <c r="AI14" s="6">
        <v>14</v>
      </c>
      <c r="AJ14" s="6">
        <v>20</v>
      </c>
      <c r="AK14" s="6">
        <v>22</v>
      </c>
      <c r="AL14" s="7" t="s">
        <v>57</v>
      </c>
      <c r="AM14" s="6">
        <v>35</v>
      </c>
      <c r="AN14" s="6">
        <v>12</v>
      </c>
      <c r="AO14" s="6">
        <v>15</v>
      </c>
      <c r="AP14" s="6">
        <v>20</v>
      </c>
      <c r="AQ14" s="6">
        <v>750</v>
      </c>
      <c r="AR14" s="6">
        <f>SUM(N14:AP14)</f>
      </c>
      <c r="AS14" s="12">
        <f>AR14/AQ14*100</f>
      </c>
      <c r="AT14" s="7" t="s">
        <v>58</v>
      </c>
    </row>
    <row x14ac:dyDescent="0.25" r="15" customHeight="1" ht="18.75">
      <c r="A15" s="6">
        <v>14</v>
      </c>
      <c r="B15" s="6">
        <v>112246</v>
      </c>
      <c r="C15" s="7" t="s">
        <v>107</v>
      </c>
      <c r="D15" s="7" t="s">
        <v>108</v>
      </c>
      <c r="E15" s="7" t="s">
        <v>109</v>
      </c>
      <c r="F15" s="7" t="s">
        <v>110</v>
      </c>
      <c r="G15" s="8">
        <v>38851</v>
      </c>
      <c r="H15" s="9">
        <f>"ABC-"&amp;B15</f>
      </c>
      <c r="I15" s="7" t="s">
        <v>50</v>
      </c>
      <c r="J15" s="10">
        <v>43952</v>
      </c>
      <c r="K15" s="11" t="s">
        <v>51</v>
      </c>
      <c r="L15" s="6">
        <v>1</v>
      </c>
      <c r="M15" s="7" t="s">
        <v>52</v>
      </c>
      <c r="N15" s="6">
        <v>45</v>
      </c>
      <c r="O15" s="6">
        <v>11</v>
      </c>
      <c r="P15" s="6">
        <v>24</v>
      </c>
      <c r="Q15" s="6">
        <v>17</v>
      </c>
      <c r="R15" s="7" t="s">
        <v>53</v>
      </c>
      <c r="S15" s="6">
        <v>68</v>
      </c>
      <c r="T15" s="6">
        <v>17</v>
      </c>
      <c r="U15" s="6">
        <v>22</v>
      </c>
      <c r="V15" s="6">
        <v>24</v>
      </c>
      <c r="W15" s="7" t="s">
        <v>54</v>
      </c>
      <c r="X15" s="6">
        <v>73</v>
      </c>
      <c r="Y15" s="6">
        <v>18</v>
      </c>
      <c r="Z15" s="6">
        <v>10</v>
      </c>
      <c r="AA15" s="6">
        <v>23</v>
      </c>
      <c r="AB15" s="7" t="s">
        <v>55</v>
      </c>
      <c r="AC15" s="6">
        <v>35</v>
      </c>
      <c r="AD15" s="6">
        <v>12</v>
      </c>
      <c r="AE15" s="6">
        <v>15</v>
      </c>
      <c r="AF15" s="6">
        <v>20</v>
      </c>
      <c r="AG15" s="7" t="s">
        <v>56</v>
      </c>
      <c r="AH15" s="6">
        <v>52</v>
      </c>
      <c r="AI15" s="6">
        <v>15</v>
      </c>
      <c r="AJ15" s="6">
        <v>20</v>
      </c>
      <c r="AK15" s="6">
        <v>15</v>
      </c>
      <c r="AL15" s="7" t="s">
        <v>57</v>
      </c>
      <c r="AM15" s="6">
        <v>35</v>
      </c>
      <c r="AN15" s="6">
        <v>12</v>
      </c>
      <c r="AO15" s="6">
        <v>15</v>
      </c>
      <c r="AP15" s="6">
        <v>20</v>
      </c>
      <c r="AQ15" s="6">
        <v>750</v>
      </c>
      <c r="AR15" s="6">
        <f>SUM(N15:AP15)</f>
      </c>
      <c r="AS15" s="12">
        <f>AR15/AQ15*100</f>
      </c>
      <c r="AT15" s="7" t="s">
        <v>58</v>
      </c>
    </row>
    <row x14ac:dyDescent="0.25" r="16" customHeight="1" ht="18.75">
      <c r="A16" s="6">
        <v>15</v>
      </c>
      <c r="B16" s="6">
        <v>112247</v>
      </c>
      <c r="C16" s="7" t="s">
        <v>111</v>
      </c>
      <c r="D16" s="7" t="s">
        <v>112</v>
      </c>
      <c r="E16" s="7" t="s">
        <v>113</v>
      </c>
      <c r="F16" s="7" t="s">
        <v>114</v>
      </c>
      <c r="G16" s="8">
        <v>38852</v>
      </c>
      <c r="H16" s="9">
        <f>"ABC-"&amp;B16</f>
      </c>
      <c r="I16" s="7" t="s">
        <v>50</v>
      </c>
      <c r="J16" s="10">
        <v>43952</v>
      </c>
      <c r="K16" s="11" t="s">
        <v>51</v>
      </c>
      <c r="L16" s="6">
        <v>1</v>
      </c>
      <c r="M16" s="7" t="s">
        <v>52</v>
      </c>
      <c r="N16" s="6">
        <v>14</v>
      </c>
      <c r="O16" s="6">
        <v>11</v>
      </c>
      <c r="P16" s="6">
        <v>18</v>
      </c>
      <c r="Q16" s="6">
        <v>20</v>
      </c>
      <c r="R16" s="7" t="s">
        <v>53</v>
      </c>
      <c r="S16" s="6">
        <v>39</v>
      </c>
      <c r="T16" s="6">
        <v>8</v>
      </c>
      <c r="U16" s="6">
        <v>22</v>
      </c>
      <c r="V16" s="6">
        <v>18</v>
      </c>
      <c r="W16" s="7" t="s">
        <v>54</v>
      </c>
      <c r="X16" s="6">
        <v>58</v>
      </c>
      <c r="Y16" s="6">
        <v>15</v>
      </c>
      <c r="Z16" s="6">
        <v>22</v>
      </c>
      <c r="AA16" s="6">
        <v>10</v>
      </c>
      <c r="AB16" s="7" t="s">
        <v>55</v>
      </c>
      <c r="AC16" s="6">
        <v>52</v>
      </c>
      <c r="AD16" s="6">
        <v>15</v>
      </c>
      <c r="AE16" s="6">
        <v>20</v>
      </c>
      <c r="AF16" s="6">
        <v>15</v>
      </c>
      <c r="AG16" s="7" t="s">
        <v>56</v>
      </c>
      <c r="AH16" s="6">
        <v>58</v>
      </c>
      <c r="AI16" s="6">
        <v>15</v>
      </c>
      <c r="AJ16" s="6">
        <v>22</v>
      </c>
      <c r="AK16" s="6">
        <v>10</v>
      </c>
      <c r="AL16" s="7" t="s">
        <v>57</v>
      </c>
      <c r="AM16" s="6">
        <v>58</v>
      </c>
      <c r="AN16" s="6">
        <v>15</v>
      </c>
      <c r="AO16" s="6">
        <v>22</v>
      </c>
      <c r="AP16" s="6">
        <v>10</v>
      </c>
      <c r="AQ16" s="6">
        <v>750</v>
      </c>
      <c r="AR16" s="6">
        <f>SUM(N16:AP16)</f>
      </c>
      <c r="AS16" s="12">
        <f>AR16/AQ16*100</f>
      </c>
      <c r="AT16" s="7" t="s">
        <v>58</v>
      </c>
    </row>
    <row x14ac:dyDescent="0.25" r="17" customHeight="1" ht="18.75">
      <c r="A17" s="6">
        <v>16</v>
      </c>
      <c r="B17" s="6">
        <v>112248</v>
      </c>
      <c r="C17" s="7" t="s">
        <v>115</v>
      </c>
      <c r="D17" s="7" t="s">
        <v>116</v>
      </c>
      <c r="E17" s="7" t="s">
        <v>117</v>
      </c>
      <c r="F17" s="7" t="s">
        <v>118</v>
      </c>
      <c r="G17" s="8">
        <v>38853</v>
      </c>
      <c r="H17" s="9">
        <f>"ABC-"&amp;B17</f>
      </c>
      <c r="I17" s="7" t="s">
        <v>50</v>
      </c>
      <c r="J17" s="10">
        <v>43952</v>
      </c>
      <c r="K17" s="11" t="s">
        <v>51</v>
      </c>
      <c r="L17" s="6">
        <v>1</v>
      </c>
      <c r="M17" s="7" t="s">
        <v>52</v>
      </c>
      <c r="N17" s="6">
        <v>32</v>
      </c>
      <c r="O17" s="6">
        <v>20</v>
      </c>
      <c r="P17" s="6">
        <v>15</v>
      </c>
      <c r="Q17" s="6">
        <v>23</v>
      </c>
      <c r="R17" s="7" t="s">
        <v>53</v>
      </c>
      <c r="S17" s="6">
        <v>52</v>
      </c>
      <c r="T17" s="6">
        <v>15</v>
      </c>
      <c r="U17" s="6">
        <v>20</v>
      </c>
      <c r="V17" s="6">
        <v>15</v>
      </c>
      <c r="W17" s="7" t="s">
        <v>54</v>
      </c>
      <c r="X17" s="6">
        <v>42</v>
      </c>
      <c r="Y17" s="6">
        <v>14</v>
      </c>
      <c r="Z17" s="6">
        <v>22</v>
      </c>
      <c r="AA17" s="6">
        <v>22</v>
      </c>
      <c r="AB17" s="7" t="s">
        <v>55</v>
      </c>
      <c r="AC17" s="6">
        <v>73</v>
      </c>
      <c r="AD17" s="6">
        <v>18</v>
      </c>
      <c r="AE17" s="6">
        <v>10</v>
      </c>
      <c r="AF17" s="6">
        <v>23</v>
      </c>
      <c r="AG17" s="7" t="s">
        <v>56</v>
      </c>
      <c r="AH17" s="6">
        <v>42</v>
      </c>
      <c r="AI17" s="6">
        <v>14</v>
      </c>
      <c r="AJ17" s="6">
        <v>22</v>
      </c>
      <c r="AK17" s="6">
        <v>22</v>
      </c>
      <c r="AL17" s="7" t="s">
        <v>57</v>
      </c>
      <c r="AM17" s="6">
        <v>73</v>
      </c>
      <c r="AN17" s="6">
        <v>18</v>
      </c>
      <c r="AO17" s="6">
        <v>10</v>
      </c>
      <c r="AP17" s="6">
        <v>23</v>
      </c>
      <c r="AQ17" s="6">
        <v>750</v>
      </c>
      <c r="AR17" s="6">
        <f>SUM(N17:AP17)</f>
      </c>
      <c r="AS17" s="12">
        <f>AR17/AQ17*100</f>
      </c>
      <c r="AT17" s="7" t="s">
        <v>58</v>
      </c>
    </row>
    <row x14ac:dyDescent="0.25" r="18" customHeight="1" ht="18.75">
      <c r="A18" s="6">
        <v>17</v>
      </c>
      <c r="B18" s="6">
        <v>112249</v>
      </c>
      <c r="C18" s="7" t="s">
        <v>119</v>
      </c>
      <c r="D18" s="7" t="s">
        <v>120</v>
      </c>
      <c r="E18" s="7" t="s">
        <v>121</v>
      </c>
      <c r="F18" s="7" t="s">
        <v>122</v>
      </c>
      <c r="G18" s="8">
        <v>38854</v>
      </c>
      <c r="H18" s="9">
        <f>"ABC-"&amp;B18</f>
      </c>
      <c r="I18" s="7" t="s">
        <v>50</v>
      </c>
      <c r="J18" s="10">
        <v>43952</v>
      </c>
      <c r="K18" s="11" t="s">
        <v>51</v>
      </c>
      <c r="L18" s="6">
        <v>1</v>
      </c>
      <c r="M18" s="7" t="s">
        <v>52</v>
      </c>
      <c r="N18" s="6">
        <v>54</v>
      </c>
      <c r="O18" s="6">
        <v>16</v>
      </c>
      <c r="P18" s="6">
        <v>23</v>
      </c>
      <c r="Q18" s="6">
        <v>22</v>
      </c>
      <c r="R18" s="7" t="s">
        <v>53</v>
      </c>
      <c r="S18" s="6">
        <v>73</v>
      </c>
      <c r="T18" s="6">
        <v>18</v>
      </c>
      <c r="U18" s="6">
        <v>10</v>
      </c>
      <c r="V18" s="6">
        <v>23</v>
      </c>
      <c r="W18" s="7" t="s">
        <v>54</v>
      </c>
      <c r="X18" s="6">
        <v>32</v>
      </c>
      <c r="Y18" s="6">
        <v>14</v>
      </c>
      <c r="Z18" s="6">
        <v>20</v>
      </c>
      <c r="AA18" s="6">
        <v>22</v>
      </c>
      <c r="AB18" s="7" t="s">
        <v>55</v>
      </c>
      <c r="AC18" s="6">
        <v>32</v>
      </c>
      <c r="AD18" s="6">
        <v>14</v>
      </c>
      <c r="AE18" s="6">
        <v>20</v>
      </c>
      <c r="AF18" s="6">
        <v>22</v>
      </c>
      <c r="AG18" s="7" t="s">
        <v>56</v>
      </c>
      <c r="AH18" s="6">
        <v>52</v>
      </c>
      <c r="AI18" s="6">
        <v>15</v>
      </c>
      <c r="AJ18" s="6">
        <v>20</v>
      </c>
      <c r="AK18" s="6">
        <v>15</v>
      </c>
      <c r="AL18" s="7" t="s">
        <v>57</v>
      </c>
      <c r="AM18" s="6">
        <v>32</v>
      </c>
      <c r="AN18" s="6">
        <v>14</v>
      </c>
      <c r="AO18" s="6">
        <v>20</v>
      </c>
      <c r="AP18" s="6">
        <v>22</v>
      </c>
      <c r="AQ18" s="6">
        <v>750</v>
      </c>
      <c r="AR18" s="6">
        <f>SUM(N18:AP18)</f>
      </c>
      <c r="AS18" s="12">
        <f>AR18/AQ18*100</f>
      </c>
      <c r="AT18" s="7" t="s">
        <v>58</v>
      </c>
    </row>
    <row x14ac:dyDescent="0.25" r="19" customHeight="1" ht="18.75">
      <c r="A19" s="6">
        <v>18</v>
      </c>
      <c r="B19" s="6">
        <v>112250</v>
      </c>
      <c r="C19" s="7" t="s">
        <v>123</v>
      </c>
      <c r="D19" s="7" t="s">
        <v>124</v>
      </c>
      <c r="E19" s="7" t="s">
        <v>125</v>
      </c>
      <c r="F19" s="7" t="s">
        <v>126</v>
      </c>
      <c r="G19" s="8">
        <v>38855</v>
      </c>
      <c r="H19" s="9">
        <f>"ABC-"&amp;B19</f>
      </c>
      <c r="I19" s="7" t="s">
        <v>50</v>
      </c>
      <c r="J19" s="10">
        <v>43952</v>
      </c>
      <c r="K19" s="11" t="s">
        <v>51</v>
      </c>
      <c r="L19" s="6">
        <v>1</v>
      </c>
      <c r="M19" s="7" t="s">
        <v>52</v>
      </c>
      <c r="N19" s="6">
        <v>16</v>
      </c>
      <c r="O19" s="6">
        <v>12</v>
      </c>
      <c r="P19" s="6">
        <v>10</v>
      </c>
      <c r="Q19" s="6">
        <v>19</v>
      </c>
      <c r="R19" s="7" t="s">
        <v>53</v>
      </c>
      <c r="S19" s="6">
        <v>58</v>
      </c>
      <c r="T19" s="6">
        <v>15</v>
      </c>
      <c r="U19" s="6">
        <v>22</v>
      </c>
      <c r="V19" s="6">
        <v>10</v>
      </c>
      <c r="W19" s="7" t="s">
        <v>54</v>
      </c>
      <c r="X19" s="6">
        <v>35</v>
      </c>
      <c r="Y19" s="6">
        <v>12</v>
      </c>
      <c r="Z19" s="6">
        <v>15</v>
      </c>
      <c r="AA19" s="6">
        <v>20</v>
      </c>
      <c r="AB19" s="7" t="s">
        <v>55</v>
      </c>
      <c r="AC19" s="6">
        <v>35</v>
      </c>
      <c r="AD19" s="6">
        <v>12</v>
      </c>
      <c r="AE19" s="6">
        <v>15</v>
      </c>
      <c r="AF19" s="6">
        <v>20</v>
      </c>
      <c r="AG19" s="7" t="s">
        <v>56</v>
      </c>
      <c r="AH19" s="6">
        <v>58</v>
      </c>
      <c r="AI19" s="6">
        <v>15</v>
      </c>
      <c r="AJ19" s="6">
        <v>22</v>
      </c>
      <c r="AK19" s="6">
        <v>10</v>
      </c>
      <c r="AL19" s="7" t="s">
        <v>57</v>
      </c>
      <c r="AM19" s="6">
        <v>35</v>
      </c>
      <c r="AN19" s="6">
        <v>12</v>
      </c>
      <c r="AO19" s="6">
        <v>15</v>
      </c>
      <c r="AP19" s="6">
        <v>20</v>
      </c>
      <c r="AQ19" s="6">
        <v>750</v>
      </c>
      <c r="AR19" s="6">
        <f>SUM(N19:AP19)</f>
      </c>
      <c r="AS19" s="12">
        <f>AR19/AQ19*100</f>
      </c>
      <c r="AT19" s="7" t="s">
        <v>58</v>
      </c>
    </row>
    <row x14ac:dyDescent="0.25" r="20" customHeight="1" ht="18.75">
      <c r="A20" s="6">
        <v>19</v>
      </c>
      <c r="B20" s="6">
        <v>112251</v>
      </c>
      <c r="C20" s="7" t="s">
        <v>127</v>
      </c>
      <c r="D20" s="7" t="s">
        <v>128</v>
      </c>
      <c r="E20" s="7" t="s">
        <v>129</v>
      </c>
      <c r="F20" s="7" t="s">
        <v>130</v>
      </c>
      <c r="G20" s="8">
        <v>38856</v>
      </c>
      <c r="H20" s="9">
        <f>"ABC-"&amp;B20</f>
      </c>
      <c r="I20" s="7" t="s">
        <v>50</v>
      </c>
      <c r="J20" s="10">
        <v>43952</v>
      </c>
      <c r="K20" s="11" t="s">
        <v>51</v>
      </c>
      <c r="L20" s="6">
        <v>1</v>
      </c>
      <c r="M20" s="7" t="s">
        <v>52</v>
      </c>
      <c r="N20" s="6">
        <v>68</v>
      </c>
      <c r="O20" s="6">
        <v>17</v>
      </c>
      <c r="P20" s="6">
        <v>22</v>
      </c>
      <c r="Q20" s="6">
        <v>24</v>
      </c>
      <c r="R20" s="7" t="s">
        <v>53</v>
      </c>
      <c r="S20" s="6">
        <v>42</v>
      </c>
      <c r="T20" s="6">
        <v>14</v>
      </c>
      <c r="U20" s="6">
        <v>22</v>
      </c>
      <c r="V20" s="6">
        <v>22</v>
      </c>
      <c r="W20" s="7" t="s">
        <v>54</v>
      </c>
      <c r="X20" s="6">
        <v>52</v>
      </c>
      <c r="Y20" s="6">
        <v>15</v>
      </c>
      <c r="Z20" s="6">
        <v>20</v>
      </c>
      <c r="AA20" s="6">
        <v>15</v>
      </c>
      <c r="AB20" s="7" t="s">
        <v>55</v>
      </c>
      <c r="AC20" s="6">
        <v>52</v>
      </c>
      <c r="AD20" s="6">
        <v>15</v>
      </c>
      <c r="AE20" s="6">
        <v>20</v>
      </c>
      <c r="AF20" s="6">
        <v>15</v>
      </c>
      <c r="AG20" s="7" t="s">
        <v>56</v>
      </c>
      <c r="AH20" s="6">
        <v>73</v>
      </c>
      <c r="AI20" s="6">
        <v>18</v>
      </c>
      <c r="AJ20" s="6">
        <v>10</v>
      </c>
      <c r="AK20" s="6">
        <v>23</v>
      </c>
      <c r="AL20" s="7" t="s">
        <v>57</v>
      </c>
      <c r="AM20" s="6">
        <v>58</v>
      </c>
      <c r="AN20" s="6">
        <v>15</v>
      </c>
      <c r="AO20" s="6">
        <v>22</v>
      </c>
      <c r="AP20" s="6">
        <v>10</v>
      </c>
      <c r="AQ20" s="6">
        <v>750</v>
      </c>
      <c r="AR20" s="6">
        <f>SUM(N20:AP20)</f>
      </c>
      <c r="AS20" s="12">
        <f>AR20/AQ20*100</f>
      </c>
      <c r="AT20" s="7" t="s">
        <v>58</v>
      </c>
    </row>
    <row x14ac:dyDescent="0.25" r="21" customHeight="1" ht="18.75">
      <c r="A21" s="6">
        <v>20</v>
      </c>
      <c r="B21" s="6">
        <v>112252</v>
      </c>
      <c r="C21" s="7" t="s">
        <v>131</v>
      </c>
      <c r="D21" s="7" t="s">
        <v>132</v>
      </c>
      <c r="E21" s="7" t="s">
        <v>133</v>
      </c>
      <c r="F21" s="7" t="s">
        <v>134</v>
      </c>
      <c r="G21" s="8">
        <v>38857</v>
      </c>
      <c r="H21" s="9">
        <f>"ABC-"&amp;B21</f>
      </c>
      <c r="I21" s="7" t="s">
        <v>50</v>
      </c>
      <c r="J21" s="10">
        <v>43952</v>
      </c>
      <c r="K21" s="11" t="s">
        <v>51</v>
      </c>
      <c r="L21" s="6">
        <v>1</v>
      </c>
      <c r="M21" s="7" t="s">
        <v>52</v>
      </c>
      <c r="N21" s="6">
        <v>39</v>
      </c>
      <c r="O21" s="6">
        <v>8</v>
      </c>
      <c r="P21" s="6">
        <v>22</v>
      </c>
      <c r="Q21" s="6">
        <v>18</v>
      </c>
      <c r="R21" s="7" t="s">
        <v>53</v>
      </c>
      <c r="S21" s="6">
        <v>32</v>
      </c>
      <c r="T21" s="6">
        <v>14</v>
      </c>
      <c r="U21" s="6">
        <v>20</v>
      </c>
      <c r="V21" s="6">
        <v>22</v>
      </c>
      <c r="W21" s="7" t="s">
        <v>54</v>
      </c>
      <c r="X21" s="6">
        <v>73</v>
      </c>
      <c r="Y21" s="6">
        <v>18</v>
      </c>
      <c r="Z21" s="6">
        <v>10</v>
      </c>
      <c r="AA21" s="6">
        <v>23</v>
      </c>
      <c r="AB21" s="7" t="s">
        <v>55</v>
      </c>
      <c r="AC21" s="6">
        <v>58</v>
      </c>
      <c r="AD21" s="6">
        <v>15</v>
      </c>
      <c r="AE21" s="6">
        <v>22</v>
      </c>
      <c r="AF21" s="6">
        <v>10</v>
      </c>
      <c r="AG21" s="7" t="s">
        <v>56</v>
      </c>
      <c r="AH21" s="6">
        <v>32</v>
      </c>
      <c r="AI21" s="6">
        <v>14</v>
      </c>
      <c r="AJ21" s="6">
        <v>20</v>
      </c>
      <c r="AK21" s="6">
        <v>22</v>
      </c>
      <c r="AL21" s="7" t="s">
        <v>57</v>
      </c>
      <c r="AM21" s="6">
        <v>73</v>
      </c>
      <c r="AN21" s="6">
        <v>18</v>
      </c>
      <c r="AO21" s="6">
        <v>10</v>
      </c>
      <c r="AP21" s="6">
        <v>23</v>
      </c>
      <c r="AQ21" s="6">
        <v>750</v>
      </c>
      <c r="AR21" s="6">
        <f>SUM(N21:AP21)</f>
      </c>
      <c r="AS21" s="12">
        <f>AR21/AQ21*100</f>
      </c>
      <c r="AT21" s="7" t="s">
        <v>58</v>
      </c>
    </row>
    <row x14ac:dyDescent="0.25" r="22" customHeight="1" ht="18.75">
      <c r="A22" s="6">
        <v>21</v>
      </c>
      <c r="B22" s="6">
        <v>112253</v>
      </c>
      <c r="C22" s="7" t="s">
        <v>135</v>
      </c>
      <c r="D22" s="7" t="s">
        <v>136</v>
      </c>
      <c r="E22" s="7" t="s">
        <v>137</v>
      </c>
      <c r="F22" s="7" t="s">
        <v>138</v>
      </c>
      <c r="G22" s="8">
        <v>38858</v>
      </c>
      <c r="H22" s="9">
        <f>"ABC-"&amp;B22</f>
      </c>
      <c r="I22" s="7" t="s">
        <v>50</v>
      </c>
      <c r="J22" s="10">
        <v>43952</v>
      </c>
      <c r="K22" s="11" t="s">
        <v>51</v>
      </c>
      <c r="L22" s="6">
        <v>1</v>
      </c>
      <c r="M22" s="7" t="s">
        <v>52</v>
      </c>
      <c r="N22" s="6">
        <v>52</v>
      </c>
      <c r="O22" s="6">
        <v>15</v>
      </c>
      <c r="P22" s="6">
        <v>20</v>
      </c>
      <c r="Q22" s="6">
        <v>15</v>
      </c>
      <c r="R22" s="7" t="s">
        <v>53</v>
      </c>
      <c r="S22" s="6">
        <v>35</v>
      </c>
      <c r="T22" s="6">
        <v>12</v>
      </c>
      <c r="U22" s="6">
        <v>15</v>
      </c>
      <c r="V22" s="6">
        <v>20</v>
      </c>
      <c r="W22" s="7" t="s">
        <v>54</v>
      </c>
      <c r="X22" s="6">
        <v>32</v>
      </c>
      <c r="Y22" s="6">
        <v>14</v>
      </c>
      <c r="Z22" s="6">
        <v>20</v>
      </c>
      <c r="AA22" s="6">
        <v>22</v>
      </c>
      <c r="AB22" s="7" t="s">
        <v>55</v>
      </c>
      <c r="AC22" s="6">
        <v>42</v>
      </c>
      <c r="AD22" s="6">
        <v>14</v>
      </c>
      <c r="AE22" s="6">
        <v>22</v>
      </c>
      <c r="AF22" s="6">
        <v>22</v>
      </c>
      <c r="AG22" s="7" t="s">
        <v>56</v>
      </c>
      <c r="AH22" s="6">
        <v>35</v>
      </c>
      <c r="AI22" s="6">
        <v>12</v>
      </c>
      <c r="AJ22" s="6">
        <v>15</v>
      </c>
      <c r="AK22" s="6">
        <v>20</v>
      </c>
      <c r="AL22" s="7" t="s">
        <v>57</v>
      </c>
      <c r="AM22" s="6">
        <v>32</v>
      </c>
      <c r="AN22" s="6">
        <v>14</v>
      </c>
      <c r="AO22" s="6">
        <v>20</v>
      </c>
      <c r="AP22" s="6">
        <v>22</v>
      </c>
      <c r="AQ22" s="6">
        <v>750</v>
      </c>
      <c r="AR22" s="6">
        <f>SUM(N22:AP22)</f>
      </c>
      <c r="AS22" s="12">
        <f>AR22/AQ22*100</f>
      </c>
      <c r="AT22" s="7" t="s">
        <v>58</v>
      </c>
    </row>
    <row x14ac:dyDescent="0.25" r="23" customHeight="1" ht="18.75">
      <c r="A23" s="6">
        <v>22</v>
      </c>
      <c r="B23" s="6">
        <v>112254</v>
      </c>
      <c r="C23" s="7" t="s">
        <v>139</v>
      </c>
      <c r="D23" s="7" t="s">
        <v>140</v>
      </c>
      <c r="E23" s="7" t="s">
        <v>141</v>
      </c>
      <c r="F23" s="7" t="s">
        <v>142</v>
      </c>
      <c r="G23" s="8">
        <v>38859</v>
      </c>
      <c r="H23" s="9">
        <f>"ABC-"&amp;B23</f>
      </c>
      <c r="I23" s="7" t="s">
        <v>50</v>
      </c>
      <c r="J23" s="10">
        <v>43952</v>
      </c>
      <c r="K23" s="11" t="s">
        <v>51</v>
      </c>
      <c r="L23" s="6">
        <v>1</v>
      </c>
      <c r="M23" s="7" t="s">
        <v>52</v>
      </c>
      <c r="N23" s="6">
        <v>73</v>
      </c>
      <c r="O23" s="6">
        <v>18</v>
      </c>
      <c r="P23" s="6">
        <v>10</v>
      </c>
      <c r="Q23" s="6">
        <v>23</v>
      </c>
      <c r="R23" s="7" t="s">
        <v>53</v>
      </c>
      <c r="S23" s="6">
        <v>52</v>
      </c>
      <c r="T23" s="6">
        <v>15</v>
      </c>
      <c r="U23" s="6">
        <v>20</v>
      </c>
      <c r="V23" s="6">
        <v>15</v>
      </c>
      <c r="W23" s="7" t="s">
        <v>54</v>
      </c>
      <c r="X23" s="6">
        <v>35</v>
      </c>
      <c r="Y23" s="6">
        <v>12</v>
      </c>
      <c r="Z23" s="6">
        <v>15</v>
      </c>
      <c r="AA23" s="6">
        <v>20</v>
      </c>
      <c r="AB23" s="7" t="s">
        <v>55</v>
      </c>
      <c r="AC23" s="6">
        <v>52</v>
      </c>
      <c r="AD23" s="6">
        <v>15</v>
      </c>
      <c r="AE23" s="6">
        <v>20</v>
      </c>
      <c r="AF23" s="6">
        <v>15</v>
      </c>
      <c r="AG23" s="7" t="s">
        <v>56</v>
      </c>
      <c r="AH23" s="6">
        <v>52</v>
      </c>
      <c r="AI23" s="6">
        <v>15</v>
      </c>
      <c r="AJ23" s="6">
        <v>20</v>
      </c>
      <c r="AK23" s="6">
        <v>15</v>
      </c>
      <c r="AL23" s="7" t="s">
        <v>57</v>
      </c>
      <c r="AM23" s="6">
        <v>35</v>
      </c>
      <c r="AN23" s="6">
        <v>12</v>
      </c>
      <c r="AO23" s="6">
        <v>15</v>
      </c>
      <c r="AP23" s="6">
        <v>20</v>
      </c>
      <c r="AQ23" s="6">
        <v>750</v>
      </c>
      <c r="AR23" s="6">
        <f>SUM(N23:AP23)</f>
      </c>
      <c r="AS23" s="12">
        <f>AR23/AQ23*100</f>
      </c>
      <c r="AT23" s="7" t="s">
        <v>58</v>
      </c>
    </row>
    <row x14ac:dyDescent="0.25" r="24" customHeight="1" ht="18.75">
      <c r="A24" s="6">
        <v>23</v>
      </c>
      <c r="B24" s="6">
        <v>112255</v>
      </c>
      <c r="C24" s="7" t="s">
        <v>143</v>
      </c>
      <c r="D24" s="7" t="s">
        <v>144</v>
      </c>
      <c r="E24" s="7" t="s">
        <v>145</v>
      </c>
      <c r="F24" s="7" t="s">
        <v>146</v>
      </c>
      <c r="G24" s="8">
        <v>38860</v>
      </c>
      <c r="H24" s="9">
        <f>"ABC-"&amp;B24</f>
      </c>
      <c r="I24" s="7" t="s">
        <v>50</v>
      </c>
      <c r="J24" s="10">
        <v>43952</v>
      </c>
      <c r="K24" s="11" t="s">
        <v>51</v>
      </c>
      <c r="L24" s="6">
        <v>1</v>
      </c>
      <c r="M24" s="7" t="s">
        <v>52</v>
      </c>
      <c r="N24" s="6">
        <v>58</v>
      </c>
      <c r="O24" s="6">
        <v>15</v>
      </c>
      <c r="P24" s="6">
        <v>22</v>
      </c>
      <c r="Q24" s="6">
        <v>10</v>
      </c>
      <c r="R24" s="7" t="s">
        <v>53</v>
      </c>
      <c r="S24" s="6">
        <v>73</v>
      </c>
      <c r="T24" s="6">
        <v>18</v>
      </c>
      <c r="U24" s="6">
        <v>10</v>
      </c>
      <c r="V24" s="6">
        <v>23</v>
      </c>
      <c r="W24" s="7" t="s">
        <v>54</v>
      </c>
      <c r="X24" s="6">
        <v>52</v>
      </c>
      <c r="Y24" s="6">
        <v>15</v>
      </c>
      <c r="Z24" s="6">
        <v>20</v>
      </c>
      <c r="AA24" s="6">
        <v>15</v>
      </c>
      <c r="AB24" s="7" t="s">
        <v>55</v>
      </c>
      <c r="AC24" s="6">
        <v>58</v>
      </c>
      <c r="AD24" s="6">
        <v>15</v>
      </c>
      <c r="AE24" s="6">
        <v>22</v>
      </c>
      <c r="AF24" s="6">
        <v>10</v>
      </c>
      <c r="AG24" s="7" t="s">
        <v>56</v>
      </c>
      <c r="AH24" s="6">
        <v>58</v>
      </c>
      <c r="AI24" s="6">
        <v>15</v>
      </c>
      <c r="AJ24" s="6">
        <v>22</v>
      </c>
      <c r="AK24" s="6">
        <v>10</v>
      </c>
      <c r="AL24" s="7" t="s">
        <v>57</v>
      </c>
      <c r="AM24" s="6">
        <v>58</v>
      </c>
      <c r="AN24" s="6">
        <v>15</v>
      </c>
      <c r="AO24" s="6">
        <v>22</v>
      </c>
      <c r="AP24" s="6">
        <v>10</v>
      </c>
      <c r="AQ24" s="6">
        <v>750</v>
      </c>
      <c r="AR24" s="6">
        <f>SUM(N24:AP24)</f>
      </c>
      <c r="AS24" s="12">
        <f>AR24/AQ24*100</f>
      </c>
      <c r="AT24" s="7" t="s">
        <v>58</v>
      </c>
    </row>
    <row x14ac:dyDescent="0.25" r="25" customHeight="1" ht="18.75">
      <c r="A25" s="6">
        <v>24</v>
      </c>
      <c r="B25" s="6">
        <v>112256</v>
      </c>
      <c r="C25" s="7" t="s">
        <v>147</v>
      </c>
      <c r="D25" s="7" t="s">
        <v>148</v>
      </c>
      <c r="E25" s="7" t="s">
        <v>149</v>
      </c>
      <c r="F25" s="7" t="s">
        <v>150</v>
      </c>
      <c r="G25" s="8">
        <v>38861</v>
      </c>
      <c r="H25" s="9">
        <f>"ABC-"&amp;B25</f>
      </c>
      <c r="I25" s="7" t="s">
        <v>50</v>
      </c>
      <c r="J25" s="10">
        <v>43952</v>
      </c>
      <c r="K25" s="11" t="s">
        <v>51</v>
      </c>
      <c r="L25" s="6">
        <v>1</v>
      </c>
      <c r="M25" s="7" t="s">
        <v>52</v>
      </c>
      <c r="N25" s="6">
        <v>42</v>
      </c>
      <c r="O25" s="6">
        <v>14</v>
      </c>
      <c r="P25" s="6">
        <v>22</v>
      </c>
      <c r="Q25" s="6">
        <v>22</v>
      </c>
      <c r="R25" s="7" t="s">
        <v>53</v>
      </c>
      <c r="S25" s="6">
        <v>58</v>
      </c>
      <c r="T25" s="6">
        <v>15</v>
      </c>
      <c r="U25" s="6">
        <v>22</v>
      </c>
      <c r="V25" s="6">
        <v>10</v>
      </c>
      <c r="W25" s="7" t="s">
        <v>54</v>
      </c>
      <c r="X25" s="6">
        <v>58</v>
      </c>
      <c r="Y25" s="6">
        <v>15</v>
      </c>
      <c r="Z25" s="6">
        <v>22</v>
      </c>
      <c r="AA25" s="6">
        <v>10</v>
      </c>
      <c r="AB25" s="7" t="s">
        <v>55</v>
      </c>
      <c r="AC25" s="6">
        <v>73</v>
      </c>
      <c r="AD25" s="6">
        <v>18</v>
      </c>
      <c r="AE25" s="6">
        <v>10</v>
      </c>
      <c r="AF25" s="6">
        <v>23</v>
      </c>
      <c r="AG25" s="7" t="s">
        <v>56</v>
      </c>
      <c r="AH25" s="6">
        <v>58</v>
      </c>
      <c r="AI25" s="6">
        <v>15</v>
      </c>
      <c r="AJ25" s="6">
        <v>22</v>
      </c>
      <c r="AK25" s="6">
        <v>10</v>
      </c>
      <c r="AL25" s="7" t="s">
        <v>57</v>
      </c>
      <c r="AM25" s="6">
        <v>73</v>
      </c>
      <c r="AN25" s="6">
        <v>18</v>
      </c>
      <c r="AO25" s="6">
        <v>10</v>
      </c>
      <c r="AP25" s="6">
        <v>23</v>
      </c>
      <c r="AQ25" s="6">
        <v>750</v>
      </c>
      <c r="AR25" s="6">
        <f>SUM(N25:AP25)</f>
      </c>
      <c r="AS25" s="12">
        <f>AR25/AQ25*100</f>
      </c>
      <c r="AT25" s="7" t="s">
        <v>58</v>
      </c>
    </row>
    <row x14ac:dyDescent="0.25" r="26" customHeight="1" ht="18.75">
      <c r="A26" s="6">
        <v>25</v>
      </c>
      <c r="B26" s="6">
        <v>112257</v>
      </c>
      <c r="C26" s="7" t="s">
        <v>151</v>
      </c>
      <c r="D26" s="7" t="s">
        <v>152</v>
      </c>
      <c r="E26" s="7" t="s">
        <v>153</v>
      </c>
      <c r="F26" s="7" t="s">
        <v>154</v>
      </c>
      <c r="G26" s="8">
        <v>38862</v>
      </c>
      <c r="H26" s="9">
        <f>"ABC-"&amp;B26</f>
      </c>
      <c r="I26" s="7" t="s">
        <v>50</v>
      </c>
      <c r="J26" s="10">
        <v>43952</v>
      </c>
      <c r="K26" s="11" t="s">
        <v>51</v>
      </c>
      <c r="L26" s="6">
        <v>1</v>
      </c>
      <c r="M26" s="7" t="s">
        <v>52</v>
      </c>
      <c r="N26" s="6">
        <v>32</v>
      </c>
      <c r="O26" s="6">
        <v>14</v>
      </c>
      <c r="P26" s="6">
        <v>20</v>
      </c>
      <c r="Q26" s="6">
        <v>22</v>
      </c>
      <c r="R26" s="7" t="s">
        <v>53</v>
      </c>
      <c r="S26" s="6">
        <v>42</v>
      </c>
      <c r="T26" s="6">
        <v>14</v>
      </c>
      <c r="U26" s="6">
        <v>22</v>
      </c>
      <c r="V26" s="6">
        <v>22</v>
      </c>
      <c r="W26" s="7" t="s">
        <v>54</v>
      </c>
      <c r="X26" s="6">
        <v>42</v>
      </c>
      <c r="Y26" s="6">
        <v>14</v>
      </c>
      <c r="Z26" s="6">
        <v>22</v>
      </c>
      <c r="AA26" s="6">
        <v>22</v>
      </c>
      <c r="AB26" s="7" t="s">
        <v>55</v>
      </c>
      <c r="AC26" s="6">
        <v>32</v>
      </c>
      <c r="AD26" s="6">
        <v>14</v>
      </c>
      <c r="AE26" s="6">
        <v>20</v>
      </c>
      <c r="AF26" s="6">
        <v>22</v>
      </c>
      <c r="AG26" s="7" t="s">
        <v>56</v>
      </c>
      <c r="AH26" s="6">
        <v>73</v>
      </c>
      <c r="AI26" s="6">
        <v>18</v>
      </c>
      <c r="AJ26" s="6">
        <v>10</v>
      </c>
      <c r="AK26" s="6">
        <v>23</v>
      </c>
      <c r="AL26" s="7" t="s">
        <v>57</v>
      </c>
      <c r="AM26" s="6">
        <v>32</v>
      </c>
      <c r="AN26" s="6">
        <v>14</v>
      </c>
      <c r="AO26" s="6">
        <v>20</v>
      </c>
      <c r="AP26" s="6">
        <v>22</v>
      </c>
      <c r="AQ26" s="6">
        <v>750</v>
      </c>
      <c r="AR26" s="6">
        <f>SUM(N26:AP26)</f>
      </c>
      <c r="AS26" s="12">
        <f>AR26/AQ26*100</f>
      </c>
      <c r="AT26" s="7" t="s">
        <v>58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SEM-1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2024-12-17T10:12:44.172Z</dcterms:created>
  <dcterms:modified xsi:type="dcterms:W3CDTF">2024-12-17T10:12:44.172Z</dcterms:modified>
</cp:coreProperties>
</file>